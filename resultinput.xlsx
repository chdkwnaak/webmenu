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\vibecoding\Html\COC\"/>
    </mc:Choice>
  </mc:AlternateContent>
  <xr:revisionPtr revIDLastSave="0" documentId="13_ncr:1_{7C631EF3-E584-4917-A82F-AADE717D0185}" xr6:coauthVersionLast="47" xr6:coauthVersionMax="47" xr10:uidLastSave="{00000000-0000-0000-0000-000000000000}"/>
  <bookViews>
    <workbookView xWindow="-120" yWindow="-120" windowWidth="29040" windowHeight="15990" xr2:uid="{570897F4-C550-47F6-93F7-95EAA37C51D7}"/>
  </bookViews>
  <sheets>
    <sheet name="채취-분석현황_입력" sheetId="1" r:id="rId1"/>
  </sheets>
  <definedNames>
    <definedName name="_xlnm._FilterDatabase" localSheetId="0" hidden="1">'채취-분석현황_입력'!$A$15:$AI$1015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 a="1"/>
  <c r="J13" i="1" s="1"/>
  <c r="J1015" i="1"/>
  <c r="B1015" i="1" s="1"/>
  <c r="F1015" i="1"/>
  <c r="E1015" i="1" s="1"/>
  <c r="C1015" i="1"/>
  <c r="A1015" i="1"/>
  <c r="A1014" i="1"/>
  <c r="J1014" i="1"/>
  <c r="B1014" i="1" s="1"/>
  <c r="C1014" i="1"/>
  <c r="C1013" i="1"/>
  <c r="F1012" i="1"/>
  <c r="E1012" i="1" s="1"/>
  <c r="A1011" i="1"/>
  <c r="F1011" i="1"/>
  <c r="E1011" i="1" s="1"/>
  <c r="C1011" i="1"/>
  <c r="F1010" i="1"/>
  <c r="E1010" i="1" s="1"/>
  <c r="J1010" i="1"/>
  <c r="B1010" i="1"/>
  <c r="A1009" i="1"/>
  <c r="J1009" i="1"/>
  <c r="F1009" i="1"/>
  <c r="E1009" i="1" s="1"/>
  <c r="C1009" i="1"/>
  <c r="J1008" i="1"/>
  <c r="A1008" i="1"/>
  <c r="C1007" i="1"/>
  <c r="J1007" i="1"/>
  <c r="F1007" i="1"/>
  <c r="E1007" i="1" s="1"/>
  <c r="A1007" i="1"/>
  <c r="J1006" i="1"/>
  <c r="B1006" i="1" s="1"/>
  <c r="F1006" i="1"/>
  <c r="E1006" i="1" s="1"/>
  <c r="C1006" i="1"/>
  <c r="A1006" i="1"/>
  <c r="C1005" i="1"/>
  <c r="F1004" i="1"/>
  <c r="E1004" i="1" s="1"/>
  <c r="J1003" i="1"/>
  <c r="F1003" i="1"/>
  <c r="E1003" i="1" s="1"/>
  <c r="C1003" i="1"/>
  <c r="A1003" i="1"/>
  <c r="F1002" i="1"/>
  <c r="E1002" i="1" s="1"/>
  <c r="J1002" i="1"/>
  <c r="A1001" i="1"/>
  <c r="J1001" i="1"/>
  <c r="F1001" i="1"/>
  <c r="E1001" i="1"/>
  <c r="C1001" i="1"/>
  <c r="J1000" i="1"/>
  <c r="A1000" i="1"/>
  <c r="C999" i="1"/>
  <c r="J999" i="1"/>
  <c r="F999" i="1"/>
  <c r="E999" i="1" s="1"/>
  <c r="A999" i="1"/>
  <c r="J998" i="1"/>
  <c r="F998" i="1"/>
  <c r="E998" i="1"/>
  <c r="C998" i="1"/>
  <c r="B998" i="1"/>
  <c r="A998" i="1"/>
  <c r="C997" i="1"/>
  <c r="F996" i="1"/>
  <c r="E996" i="1" s="1"/>
  <c r="J995" i="1"/>
  <c r="F995" i="1"/>
  <c r="E995" i="1" s="1"/>
  <c r="C995" i="1"/>
  <c r="A995" i="1"/>
  <c r="F994" i="1"/>
  <c r="E994" i="1" s="1"/>
  <c r="J994" i="1"/>
  <c r="B994" i="1"/>
  <c r="A993" i="1"/>
  <c r="J993" i="1"/>
  <c r="F993" i="1"/>
  <c r="E993" i="1"/>
  <c r="C993" i="1"/>
  <c r="J992" i="1"/>
  <c r="A992" i="1"/>
  <c r="C991" i="1"/>
  <c r="J991" i="1"/>
  <c r="F991" i="1"/>
  <c r="E991" i="1" s="1"/>
  <c r="A991" i="1"/>
  <c r="J990" i="1"/>
  <c r="F990" i="1"/>
  <c r="E990" i="1"/>
  <c r="C990" i="1"/>
  <c r="A990" i="1"/>
  <c r="C989" i="1"/>
  <c r="F988" i="1"/>
  <c r="E988" i="1" s="1"/>
  <c r="J987" i="1"/>
  <c r="F987" i="1"/>
  <c r="E987" i="1" s="1"/>
  <c r="C987" i="1"/>
  <c r="A987" i="1"/>
  <c r="F986" i="1"/>
  <c r="E986" i="1" s="1"/>
  <c r="J986" i="1"/>
  <c r="B986" i="1"/>
  <c r="A985" i="1"/>
  <c r="J985" i="1"/>
  <c r="F985" i="1"/>
  <c r="E985" i="1" s="1"/>
  <c r="C985" i="1"/>
  <c r="J984" i="1"/>
  <c r="A984" i="1"/>
  <c r="C983" i="1"/>
  <c r="J983" i="1"/>
  <c r="F983" i="1"/>
  <c r="E983" i="1" s="1"/>
  <c r="A983" i="1"/>
  <c r="J982" i="1"/>
  <c r="F982" i="1"/>
  <c r="E982" i="1"/>
  <c r="C982" i="1"/>
  <c r="B982" i="1"/>
  <c r="A982" i="1"/>
  <c r="C981" i="1"/>
  <c r="F980" i="1"/>
  <c r="E980" i="1" s="1"/>
  <c r="J979" i="1"/>
  <c r="F979" i="1"/>
  <c r="E979" i="1" s="1"/>
  <c r="C979" i="1"/>
  <c r="B979" i="1"/>
  <c r="A979" i="1"/>
  <c r="F978" i="1"/>
  <c r="E978" i="1" s="1"/>
  <c r="J978" i="1"/>
  <c r="B978" i="1"/>
  <c r="A977" i="1"/>
  <c r="J977" i="1"/>
  <c r="F977" i="1"/>
  <c r="E977" i="1" s="1"/>
  <c r="C977" i="1"/>
  <c r="J976" i="1"/>
  <c r="A976" i="1"/>
  <c r="C975" i="1"/>
  <c r="J975" i="1"/>
  <c r="F975" i="1"/>
  <c r="E975" i="1" s="1"/>
  <c r="A975" i="1"/>
  <c r="J974" i="1"/>
  <c r="F974" i="1"/>
  <c r="E974" i="1" s="1"/>
  <c r="C974" i="1"/>
  <c r="B974" i="1"/>
  <c r="A974" i="1"/>
  <c r="C973" i="1"/>
  <c r="F972" i="1"/>
  <c r="E972" i="1" s="1"/>
  <c r="J971" i="1"/>
  <c r="F971" i="1"/>
  <c r="E971" i="1" s="1"/>
  <c r="C971" i="1"/>
  <c r="A971" i="1"/>
  <c r="F970" i="1"/>
  <c r="E970" i="1" s="1"/>
  <c r="J970" i="1"/>
  <c r="A969" i="1"/>
  <c r="J969" i="1"/>
  <c r="F969" i="1"/>
  <c r="E969" i="1"/>
  <c r="C969" i="1"/>
  <c r="J968" i="1"/>
  <c r="A968" i="1"/>
  <c r="C967" i="1"/>
  <c r="J967" i="1"/>
  <c r="F967" i="1"/>
  <c r="E967" i="1" s="1"/>
  <c r="A967" i="1"/>
  <c r="J966" i="1"/>
  <c r="F966" i="1"/>
  <c r="E966" i="1"/>
  <c r="C966" i="1"/>
  <c r="B966" i="1"/>
  <c r="A966" i="1"/>
  <c r="F964" i="1"/>
  <c r="E964" i="1" s="1"/>
  <c r="J963" i="1"/>
  <c r="F963" i="1"/>
  <c r="E963" i="1" s="1"/>
  <c r="C963" i="1"/>
  <c r="B963" i="1"/>
  <c r="A963" i="1"/>
  <c r="F962" i="1"/>
  <c r="E962" i="1" s="1"/>
  <c r="J962" i="1"/>
  <c r="A961" i="1"/>
  <c r="J961" i="1"/>
  <c r="F961" i="1"/>
  <c r="E961" i="1"/>
  <c r="C961" i="1"/>
  <c r="J960" i="1"/>
  <c r="A960" i="1"/>
  <c r="C959" i="1"/>
  <c r="J959" i="1"/>
  <c r="F959" i="1"/>
  <c r="E959" i="1" s="1"/>
  <c r="A959" i="1"/>
  <c r="J958" i="1"/>
  <c r="F958" i="1"/>
  <c r="E958" i="1" s="1"/>
  <c r="C958" i="1"/>
  <c r="A958" i="1"/>
  <c r="C957" i="1"/>
  <c r="J955" i="1"/>
  <c r="F955" i="1"/>
  <c r="E955" i="1" s="1"/>
  <c r="C955" i="1"/>
  <c r="A955" i="1"/>
  <c r="F954" i="1"/>
  <c r="E954" i="1" s="1"/>
  <c r="J954" i="1"/>
  <c r="B954" i="1"/>
  <c r="A953" i="1"/>
  <c r="J953" i="1"/>
  <c r="F953" i="1"/>
  <c r="E953" i="1" s="1"/>
  <c r="C953" i="1"/>
  <c r="J952" i="1"/>
  <c r="A952" i="1"/>
  <c r="C951" i="1"/>
  <c r="J951" i="1"/>
  <c r="F951" i="1"/>
  <c r="E951" i="1" s="1"/>
  <c r="A951" i="1"/>
  <c r="J950" i="1"/>
  <c r="F950" i="1"/>
  <c r="E950" i="1"/>
  <c r="C950" i="1"/>
  <c r="B950" i="1"/>
  <c r="A950" i="1"/>
  <c r="C949" i="1"/>
  <c r="F948" i="1"/>
  <c r="E948" i="1" s="1"/>
  <c r="J947" i="1"/>
  <c r="F947" i="1"/>
  <c r="E947" i="1" s="1"/>
  <c r="C947" i="1"/>
  <c r="A947" i="1"/>
  <c r="F946" i="1"/>
  <c r="E946" i="1" s="1"/>
  <c r="J946" i="1"/>
  <c r="B946" i="1"/>
  <c r="A945" i="1"/>
  <c r="J945" i="1"/>
  <c r="F945" i="1"/>
  <c r="E945" i="1"/>
  <c r="C945" i="1"/>
  <c r="J944" i="1"/>
  <c r="A944" i="1"/>
  <c r="C943" i="1"/>
  <c r="J943" i="1"/>
  <c r="F943" i="1"/>
  <c r="E943" i="1" s="1"/>
  <c r="A943" i="1"/>
  <c r="J942" i="1"/>
  <c r="B942" i="1" s="1"/>
  <c r="F942" i="1"/>
  <c r="E942" i="1"/>
  <c r="C942" i="1"/>
  <c r="A942" i="1"/>
  <c r="C941" i="1"/>
  <c r="F940" i="1"/>
  <c r="E940" i="1" s="1"/>
  <c r="J939" i="1"/>
  <c r="F939" i="1"/>
  <c r="E939" i="1" s="1"/>
  <c r="C939" i="1"/>
  <c r="B939" i="1"/>
  <c r="A939" i="1"/>
  <c r="F938" i="1"/>
  <c r="E938" i="1" s="1"/>
  <c r="J938" i="1"/>
  <c r="A937" i="1"/>
  <c r="J937" i="1"/>
  <c r="F937" i="1"/>
  <c r="E937" i="1" s="1"/>
  <c r="C937" i="1"/>
  <c r="J936" i="1"/>
  <c r="A936" i="1"/>
  <c r="C935" i="1"/>
  <c r="J935" i="1"/>
  <c r="F935" i="1"/>
  <c r="E935" i="1" s="1"/>
  <c r="A935" i="1"/>
  <c r="J934" i="1"/>
  <c r="F934" i="1"/>
  <c r="E934" i="1"/>
  <c r="C934" i="1"/>
  <c r="B934" i="1"/>
  <c r="A934" i="1"/>
  <c r="C933" i="1"/>
  <c r="A933" i="1"/>
  <c r="F932" i="1"/>
  <c r="E932" i="1"/>
  <c r="J931" i="1"/>
  <c r="F931" i="1"/>
  <c r="E931" i="1" s="1"/>
  <c r="C931" i="1"/>
  <c r="A931" i="1"/>
  <c r="A929" i="1"/>
  <c r="J929" i="1"/>
  <c r="F929" i="1"/>
  <c r="E929" i="1"/>
  <c r="C929" i="1"/>
  <c r="J928" i="1"/>
  <c r="A928" i="1"/>
  <c r="J927" i="1"/>
  <c r="F927" i="1"/>
  <c r="E927" i="1" s="1"/>
  <c r="J926" i="1"/>
  <c r="B926" i="1" s="1"/>
  <c r="F926" i="1"/>
  <c r="E926" i="1"/>
  <c r="C926" i="1"/>
  <c r="A926" i="1"/>
  <c r="F925" i="1"/>
  <c r="E925" i="1" s="1"/>
  <c r="J925" i="1"/>
  <c r="C925" i="1"/>
  <c r="B925" i="1"/>
  <c r="J923" i="1"/>
  <c r="F923" i="1"/>
  <c r="E923" i="1" s="1"/>
  <c r="A923" i="1"/>
  <c r="C922" i="1"/>
  <c r="J922" i="1"/>
  <c r="F922" i="1"/>
  <c r="E922" i="1" s="1"/>
  <c r="A922" i="1"/>
  <c r="A921" i="1"/>
  <c r="J921" i="1"/>
  <c r="F921" i="1"/>
  <c r="E921" i="1" s="1"/>
  <c r="C921" i="1"/>
  <c r="B921" i="1"/>
  <c r="F920" i="1"/>
  <c r="E920" i="1" s="1"/>
  <c r="J920" i="1"/>
  <c r="C920" i="1"/>
  <c r="J918" i="1"/>
  <c r="B918" i="1" s="1"/>
  <c r="F918" i="1"/>
  <c r="E918" i="1"/>
  <c r="C918" i="1"/>
  <c r="A918" i="1"/>
  <c r="F917" i="1"/>
  <c r="E917" i="1" s="1"/>
  <c r="A917" i="1"/>
  <c r="C916" i="1"/>
  <c r="J916" i="1"/>
  <c r="F916" i="1"/>
  <c r="E916" i="1" s="1"/>
  <c r="B916" i="1"/>
  <c r="A916" i="1"/>
  <c r="J915" i="1"/>
  <c r="F915" i="1"/>
  <c r="E915" i="1"/>
  <c r="C915" i="1"/>
  <c r="B915" i="1"/>
  <c r="A915" i="1"/>
  <c r="F914" i="1"/>
  <c r="E914" i="1" s="1"/>
  <c r="J914" i="1"/>
  <c r="C913" i="1"/>
  <c r="F913" i="1"/>
  <c r="E913" i="1"/>
  <c r="J912" i="1"/>
  <c r="F912" i="1"/>
  <c r="E912" i="1" s="1"/>
  <c r="A912" i="1"/>
  <c r="A911" i="1"/>
  <c r="J911" i="1"/>
  <c r="B911" i="1" s="1"/>
  <c r="F911" i="1"/>
  <c r="E911" i="1" s="1"/>
  <c r="C911" i="1"/>
  <c r="A910" i="1"/>
  <c r="J910" i="1"/>
  <c r="B910" i="1" s="1"/>
  <c r="C910" i="1"/>
  <c r="A909" i="1"/>
  <c r="C908" i="1"/>
  <c r="J908" i="1"/>
  <c r="B908" i="1" s="1"/>
  <c r="F908" i="1"/>
  <c r="E908" i="1" s="1"/>
  <c r="A908" i="1"/>
  <c r="J907" i="1"/>
  <c r="F907" i="1"/>
  <c r="E907" i="1"/>
  <c r="C907" i="1"/>
  <c r="B907" i="1"/>
  <c r="A907" i="1"/>
  <c r="J906" i="1"/>
  <c r="C905" i="1"/>
  <c r="F905" i="1"/>
  <c r="E905" i="1"/>
  <c r="J904" i="1"/>
  <c r="F904" i="1"/>
  <c r="E904" i="1" s="1"/>
  <c r="B904" i="1"/>
  <c r="A904" i="1"/>
  <c r="A903" i="1"/>
  <c r="J903" i="1"/>
  <c r="B903" i="1" s="1"/>
  <c r="F903" i="1"/>
  <c r="E903" i="1" s="1"/>
  <c r="C903" i="1"/>
  <c r="A902" i="1"/>
  <c r="J902" i="1"/>
  <c r="B902" i="1" s="1"/>
  <c r="C902" i="1"/>
  <c r="A901" i="1"/>
  <c r="C900" i="1"/>
  <c r="J900" i="1"/>
  <c r="F900" i="1"/>
  <c r="E900" i="1" s="1"/>
  <c r="B900" i="1"/>
  <c r="A900" i="1"/>
  <c r="J899" i="1"/>
  <c r="B899" i="1" s="1"/>
  <c r="F899" i="1"/>
  <c r="E899" i="1" s="1"/>
  <c r="C899" i="1"/>
  <c r="A899" i="1"/>
  <c r="C897" i="1"/>
  <c r="F897" i="1"/>
  <c r="E897" i="1" s="1"/>
  <c r="J896" i="1"/>
  <c r="F896" i="1"/>
  <c r="E896" i="1" s="1"/>
  <c r="A896" i="1"/>
  <c r="A895" i="1"/>
  <c r="J895" i="1"/>
  <c r="B895" i="1" s="1"/>
  <c r="F895" i="1"/>
  <c r="E895" i="1" s="1"/>
  <c r="C895" i="1"/>
  <c r="A894" i="1"/>
  <c r="J894" i="1"/>
  <c r="B894" i="1" s="1"/>
  <c r="C894" i="1"/>
  <c r="A893" i="1"/>
  <c r="C892" i="1"/>
  <c r="J892" i="1"/>
  <c r="F892" i="1"/>
  <c r="E892" i="1" s="1"/>
  <c r="A892" i="1"/>
  <c r="J891" i="1"/>
  <c r="F891" i="1"/>
  <c r="E891" i="1"/>
  <c r="C891" i="1"/>
  <c r="B891" i="1"/>
  <c r="A891" i="1"/>
  <c r="J890" i="1"/>
  <c r="C889" i="1"/>
  <c r="F889" i="1"/>
  <c r="E889" i="1" s="1"/>
  <c r="J888" i="1"/>
  <c r="F888" i="1"/>
  <c r="E888" i="1" s="1"/>
  <c r="A888" i="1"/>
  <c r="A887" i="1"/>
  <c r="J887" i="1"/>
  <c r="B887" i="1" s="1"/>
  <c r="F887" i="1"/>
  <c r="E887" i="1" s="1"/>
  <c r="C887" i="1"/>
  <c r="A886" i="1"/>
  <c r="J886" i="1"/>
  <c r="B886" i="1" s="1"/>
  <c r="C886" i="1"/>
  <c r="A885" i="1"/>
  <c r="C884" i="1"/>
  <c r="J884" i="1"/>
  <c r="F884" i="1"/>
  <c r="E884" i="1" s="1"/>
  <c r="B884" i="1"/>
  <c r="A884" i="1"/>
  <c r="J883" i="1"/>
  <c r="F883" i="1"/>
  <c r="E883" i="1" s="1"/>
  <c r="C883" i="1"/>
  <c r="A883" i="1"/>
  <c r="C881" i="1"/>
  <c r="F881" i="1"/>
  <c r="E881" i="1" s="1"/>
  <c r="J880" i="1"/>
  <c r="F880" i="1"/>
  <c r="E880" i="1" s="1"/>
  <c r="A880" i="1"/>
  <c r="A879" i="1"/>
  <c r="J879" i="1"/>
  <c r="B879" i="1" s="1"/>
  <c r="F879" i="1"/>
  <c r="E879" i="1" s="1"/>
  <c r="C879" i="1"/>
  <c r="A878" i="1"/>
  <c r="J878" i="1"/>
  <c r="B878" i="1" s="1"/>
  <c r="C878" i="1"/>
  <c r="A877" i="1"/>
  <c r="C876" i="1"/>
  <c r="J876" i="1"/>
  <c r="F876" i="1"/>
  <c r="E876" i="1" s="1"/>
  <c r="A876" i="1"/>
  <c r="J875" i="1"/>
  <c r="F875" i="1"/>
  <c r="E875" i="1"/>
  <c r="C875" i="1"/>
  <c r="B875" i="1"/>
  <c r="A875" i="1"/>
  <c r="J874" i="1"/>
  <c r="C873" i="1"/>
  <c r="F873" i="1"/>
  <c r="E873" i="1"/>
  <c r="J872" i="1"/>
  <c r="F872" i="1"/>
  <c r="E872" i="1" s="1"/>
  <c r="B872" i="1"/>
  <c r="A872" i="1"/>
  <c r="A871" i="1"/>
  <c r="J871" i="1"/>
  <c r="B871" i="1" s="1"/>
  <c r="F871" i="1"/>
  <c r="E871" i="1" s="1"/>
  <c r="C871" i="1"/>
  <c r="A870" i="1"/>
  <c r="J870" i="1"/>
  <c r="B870" i="1" s="1"/>
  <c r="C870" i="1"/>
  <c r="A869" i="1"/>
  <c r="C868" i="1"/>
  <c r="J868" i="1"/>
  <c r="F868" i="1"/>
  <c r="E868" i="1" s="1"/>
  <c r="A868" i="1"/>
  <c r="J867" i="1"/>
  <c r="B867" i="1" s="1"/>
  <c r="F867" i="1"/>
  <c r="E867" i="1"/>
  <c r="C867" i="1"/>
  <c r="A867" i="1"/>
  <c r="C865" i="1"/>
  <c r="F865" i="1"/>
  <c r="E865" i="1" s="1"/>
  <c r="J864" i="1"/>
  <c r="F864" i="1"/>
  <c r="E864" i="1" s="1"/>
  <c r="A864" i="1"/>
  <c r="A863" i="1"/>
  <c r="J863" i="1"/>
  <c r="B863" i="1" s="1"/>
  <c r="F863" i="1"/>
  <c r="E863" i="1" s="1"/>
  <c r="C863" i="1"/>
  <c r="A862" i="1"/>
  <c r="J862" i="1"/>
  <c r="B862" i="1" s="1"/>
  <c r="C862" i="1"/>
  <c r="A861" i="1"/>
  <c r="C860" i="1"/>
  <c r="J860" i="1"/>
  <c r="F860" i="1"/>
  <c r="E860" i="1" s="1"/>
  <c r="B860" i="1"/>
  <c r="A860" i="1"/>
  <c r="J859" i="1"/>
  <c r="F859" i="1"/>
  <c r="E859" i="1"/>
  <c r="C859" i="1"/>
  <c r="B859" i="1"/>
  <c r="A859" i="1"/>
  <c r="J858" i="1"/>
  <c r="C858" i="1"/>
  <c r="F857" i="1"/>
  <c r="E857" i="1" s="1"/>
  <c r="J856" i="1"/>
  <c r="F856" i="1"/>
  <c r="E856" i="1" s="1"/>
  <c r="A856" i="1"/>
  <c r="A855" i="1"/>
  <c r="J855" i="1"/>
  <c r="F855" i="1"/>
  <c r="E855" i="1" s="1"/>
  <c r="C855" i="1"/>
  <c r="A854" i="1"/>
  <c r="J854" i="1"/>
  <c r="C854" i="1"/>
  <c r="C852" i="1"/>
  <c r="J852" i="1"/>
  <c r="F852" i="1"/>
  <c r="E852" i="1" s="1"/>
  <c r="B852" i="1"/>
  <c r="A852" i="1"/>
  <c r="J851" i="1"/>
  <c r="B851" i="1" s="1"/>
  <c r="F851" i="1"/>
  <c r="E851" i="1" s="1"/>
  <c r="C851" i="1"/>
  <c r="A851" i="1"/>
  <c r="J850" i="1"/>
  <c r="F849" i="1"/>
  <c r="E849" i="1" s="1"/>
  <c r="A847" i="1"/>
  <c r="J847" i="1"/>
  <c r="F847" i="1"/>
  <c r="E847" i="1" s="1"/>
  <c r="C847" i="1"/>
  <c r="A846" i="1"/>
  <c r="J846" i="1"/>
  <c r="C846" i="1"/>
  <c r="J845" i="1"/>
  <c r="A845" i="1"/>
  <c r="C844" i="1"/>
  <c r="J844" i="1"/>
  <c r="F844" i="1"/>
  <c r="E844" i="1" s="1"/>
  <c r="A844" i="1"/>
  <c r="J843" i="1"/>
  <c r="F843" i="1"/>
  <c r="E843" i="1" s="1"/>
  <c r="C843" i="1"/>
  <c r="A843" i="1"/>
  <c r="C842" i="1"/>
  <c r="C841" i="1"/>
  <c r="F841" i="1"/>
  <c r="E841" i="1" s="1"/>
  <c r="A841" i="1"/>
  <c r="J840" i="1"/>
  <c r="B840" i="1" s="1"/>
  <c r="F840" i="1"/>
  <c r="E840" i="1"/>
  <c r="C840" i="1"/>
  <c r="C839" i="1"/>
  <c r="J839" i="1"/>
  <c r="F839" i="1"/>
  <c r="E839" i="1" s="1"/>
  <c r="A839" i="1"/>
  <c r="A838" i="1"/>
  <c r="J838" i="1"/>
  <c r="F838" i="1"/>
  <c r="E838" i="1" s="1"/>
  <c r="C838" i="1"/>
  <c r="C837" i="1"/>
  <c r="J837" i="1"/>
  <c r="F837" i="1"/>
  <c r="E837" i="1" s="1"/>
  <c r="A837" i="1"/>
  <c r="C836" i="1"/>
  <c r="J836" i="1"/>
  <c r="F836" i="1"/>
  <c r="E836" i="1"/>
  <c r="B836" i="1"/>
  <c r="J835" i="1"/>
  <c r="F835" i="1"/>
  <c r="E835" i="1"/>
  <c r="C835" i="1"/>
  <c r="A835" i="1"/>
  <c r="J833" i="1"/>
  <c r="B833" i="1" s="1"/>
  <c r="F833" i="1"/>
  <c r="E833" i="1" s="1"/>
  <c r="C833" i="1"/>
  <c r="A833" i="1"/>
  <c r="A832" i="1"/>
  <c r="C832" i="1"/>
  <c r="F831" i="1"/>
  <c r="E831" i="1" s="1"/>
  <c r="J831" i="1"/>
  <c r="C831" i="1"/>
  <c r="C829" i="1"/>
  <c r="J829" i="1"/>
  <c r="F829" i="1"/>
  <c r="E829" i="1" s="1"/>
  <c r="B829" i="1"/>
  <c r="A829" i="1"/>
  <c r="C828" i="1"/>
  <c r="J828" i="1"/>
  <c r="F828" i="1"/>
  <c r="E828" i="1" s="1"/>
  <c r="B828" i="1"/>
  <c r="J827" i="1"/>
  <c r="F827" i="1"/>
  <c r="E827" i="1"/>
  <c r="C827" i="1"/>
  <c r="A827" i="1"/>
  <c r="J825" i="1"/>
  <c r="B825" i="1" s="1"/>
  <c r="F825" i="1"/>
  <c r="E825" i="1" s="1"/>
  <c r="C825" i="1"/>
  <c r="A825" i="1"/>
  <c r="A824" i="1"/>
  <c r="C824" i="1"/>
  <c r="F823" i="1"/>
  <c r="E823" i="1" s="1"/>
  <c r="J823" i="1"/>
  <c r="C823" i="1"/>
  <c r="C821" i="1"/>
  <c r="J821" i="1"/>
  <c r="F821" i="1"/>
  <c r="E821" i="1" s="1"/>
  <c r="A821" i="1"/>
  <c r="C820" i="1"/>
  <c r="J820" i="1"/>
  <c r="B820" i="1" s="1"/>
  <c r="F820" i="1"/>
  <c r="E820" i="1" s="1"/>
  <c r="J819" i="1"/>
  <c r="F819" i="1"/>
  <c r="E819" i="1"/>
  <c r="C819" i="1"/>
  <c r="A819" i="1"/>
  <c r="B817" i="1"/>
  <c r="J817" i="1"/>
  <c r="F817" i="1"/>
  <c r="E817" i="1" s="1"/>
  <c r="C817" i="1"/>
  <c r="A817" i="1"/>
  <c r="A816" i="1"/>
  <c r="C816" i="1"/>
  <c r="J815" i="1"/>
  <c r="C815" i="1"/>
  <c r="F814" i="1"/>
  <c r="E814" i="1" s="1"/>
  <c r="C813" i="1"/>
  <c r="J813" i="1"/>
  <c r="F813" i="1"/>
  <c r="E813" i="1" s="1"/>
  <c r="A813" i="1"/>
  <c r="C812" i="1"/>
  <c r="J812" i="1"/>
  <c r="F812" i="1"/>
  <c r="E812" i="1"/>
  <c r="B812" i="1"/>
  <c r="J811" i="1"/>
  <c r="F811" i="1"/>
  <c r="E811" i="1"/>
  <c r="C811" i="1"/>
  <c r="A811" i="1"/>
  <c r="A810" i="1"/>
  <c r="J809" i="1"/>
  <c r="B809" i="1" s="1"/>
  <c r="F809" i="1"/>
  <c r="E809" i="1" s="1"/>
  <c r="C809" i="1"/>
  <c r="A809" i="1"/>
  <c r="A808" i="1"/>
  <c r="C808" i="1"/>
  <c r="J807" i="1"/>
  <c r="F806" i="1"/>
  <c r="E806" i="1" s="1"/>
  <c r="C805" i="1"/>
  <c r="J805" i="1"/>
  <c r="F805" i="1"/>
  <c r="E805" i="1" s="1"/>
  <c r="B805" i="1"/>
  <c r="A805" i="1"/>
  <c r="C804" i="1"/>
  <c r="J804" i="1"/>
  <c r="B804" i="1" s="1"/>
  <c r="F804" i="1"/>
  <c r="E804" i="1"/>
  <c r="J803" i="1"/>
  <c r="F803" i="1"/>
  <c r="E803" i="1"/>
  <c r="C803" i="1"/>
  <c r="A803" i="1"/>
  <c r="A802" i="1"/>
  <c r="J801" i="1"/>
  <c r="B801" i="1" s="1"/>
  <c r="F801" i="1"/>
  <c r="E801" i="1" s="1"/>
  <c r="C801" i="1"/>
  <c r="A801" i="1"/>
  <c r="A800" i="1"/>
  <c r="C800" i="1"/>
  <c r="J799" i="1"/>
  <c r="F798" i="1"/>
  <c r="E798" i="1" s="1"/>
  <c r="C797" i="1"/>
  <c r="J797" i="1"/>
  <c r="F797" i="1"/>
  <c r="E797" i="1" s="1"/>
  <c r="B797" i="1"/>
  <c r="A797" i="1"/>
  <c r="C796" i="1"/>
  <c r="J796" i="1"/>
  <c r="F796" i="1"/>
  <c r="E796" i="1" s="1"/>
  <c r="J795" i="1"/>
  <c r="F795" i="1"/>
  <c r="E795" i="1"/>
  <c r="C795" i="1"/>
  <c r="A795" i="1"/>
  <c r="A794" i="1"/>
  <c r="B793" i="1"/>
  <c r="J793" i="1"/>
  <c r="F793" i="1"/>
  <c r="E793" i="1" s="1"/>
  <c r="C793" i="1"/>
  <c r="A793" i="1"/>
  <c r="A792" i="1"/>
  <c r="C792" i="1"/>
  <c r="J791" i="1"/>
  <c r="F790" i="1"/>
  <c r="E790" i="1" s="1"/>
  <c r="C789" i="1"/>
  <c r="J789" i="1"/>
  <c r="F789" i="1"/>
  <c r="E789" i="1" s="1"/>
  <c r="A789" i="1"/>
  <c r="C788" i="1"/>
  <c r="J788" i="1"/>
  <c r="B788" i="1" s="1"/>
  <c r="F788" i="1"/>
  <c r="E788" i="1" s="1"/>
  <c r="J787" i="1"/>
  <c r="F787" i="1"/>
  <c r="E787" i="1" s="1"/>
  <c r="C787" i="1"/>
  <c r="A787" i="1"/>
  <c r="A786" i="1"/>
  <c r="J785" i="1"/>
  <c r="B785" i="1" s="1"/>
  <c r="F785" i="1"/>
  <c r="E785" i="1" s="1"/>
  <c r="C785" i="1"/>
  <c r="A785" i="1"/>
  <c r="A784" i="1"/>
  <c r="C784" i="1"/>
  <c r="J783" i="1"/>
  <c r="F782" i="1"/>
  <c r="E782" i="1" s="1"/>
  <c r="C781" i="1"/>
  <c r="J781" i="1"/>
  <c r="F781" i="1"/>
  <c r="E781" i="1" s="1"/>
  <c r="A781" i="1"/>
  <c r="C780" i="1"/>
  <c r="J780" i="1"/>
  <c r="F780" i="1"/>
  <c r="E780" i="1" s="1"/>
  <c r="J779" i="1"/>
  <c r="F779" i="1"/>
  <c r="E779" i="1"/>
  <c r="C779" i="1"/>
  <c r="A779" i="1"/>
  <c r="A778" i="1"/>
  <c r="B777" i="1"/>
  <c r="J777" i="1"/>
  <c r="F777" i="1"/>
  <c r="E777" i="1" s="1"/>
  <c r="C777" i="1"/>
  <c r="A777" i="1"/>
  <c r="C776" i="1"/>
  <c r="J775" i="1"/>
  <c r="F775" i="1"/>
  <c r="E775" i="1" s="1"/>
  <c r="C775" i="1"/>
  <c r="F774" i="1"/>
  <c r="E774" i="1" s="1"/>
  <c r="C773" i="1"/>
  <c r="J773" i="1"/>
  <c r="F773" i="1"/>
  <c r="E773" i="1" s="1"/>
  <c r="A773" i="1"/>
  <c r="C772" i="1"/>
  <c r="J772" i="1"/>
  <c r="B772" i="1" s="1"/>
  <c r="F772" i="1"/>
  <c r="E772" i="1"/>
  <c r="J771" i="1"/>
  <c r="F771" i="1"/>
  <c r="E771" i="1"/>
  <c r="C771" i="1"/>
  <c r="A771" i="1"/>
  <c r="A770" i="1"/>
  <c r="B769" i="1"/>
  <c r="J769" i="1"/>
  <c r="F769" i="1"/>
  <c r="E769" i="1" s="1"/>
  <c r="C769" i="1"/>
  <c r="A769" i="1"/>
  <c r="C768" i="1"/>
  <c r="J767" i="1"/>
  <c r="C767" i="1"/>
  <c r="F766" i="1"/>
  <c r="E766" i="1" s="1"/>
  <c r="C765" i="1"/>
  <c r="J765" i="1"/>
  <c r="F765" i="1"/>
  <c r="E765" i="1" s="1"/>
  <c r="A765" i="1"/>
  <c r="C764" i="1"/>
  <c r="J764" i="1"/>
  <c r="F764" i="1"/>
  <c r="E764" i="1"/>
  <c r="B764" i="1"/>
  <c r="J763" i="1"/>
  <c r="F763" i="1"/>
  <c r="E763" i="1"/>
  <c r="C763" i="1"/>
  <c r="A763" i="1"/>
  <c r="A762" i="1"/>
  <c r="J761" i="1"/>
  <c r="B761" i="1" s="1"/>
  <c r="F761" i="1"/>
  <c r="E761" i="1" s="1"/>
  <c r="C761" i="1"/>
  <c r="A761" i="1"/>
  <c r="C760" i="1"/>
  <c r="J759" i="1"/>
  <c r="F758" i="1"/>
  <c r="E758" i="1" s="1"/>
  <c r="C757" i="1"/>
  <c r="J757" i="1"/>
  <c r="F757" i="1"/>
  <c r="E757" i="1" s="1"/>
  <c r="B757" i="1"/>
  <c r="A757" i="1"/>
  <c r="C756" i="1"/>
  <c r="J756" i="1"/>
  <c r="B756" i="1" s="1"/>
  <c r="F756" i="1"/>
  <c r="E756" i="1"/>
  <c r="J755" i="1"/>
  <c r="F755" i="1"/>
  <c r="E755" i="1"/>
  <c r="C755" i="1"/>
  <c r="A755" i="1"/>
  <c r="A754" i="1"/>
  <c r="J753" i="1"/>
  <c r="B753" i="1" s="1"/>
  <c r="F753" i="1"/>
  <c r="E753" i="1" s="1"/>
  <c r="C753" i="1"/>
  <c r="A753" i="1"/>
  <c r="A752" i="1"/>
  <c r="J751" i="1"/>
  <c r="F751" i="1"/>
  <c r="E751" i="1" s="1"/>
  <c r="A751" i="1"/>
  <c r="F750" i="1"/>
  <c r="E750" i="1" s="1"/>
  <c r="J749" i="1"/>
  <c r="A749" i="1"/>
  <c r="C748" i="1"/>
  <c r="J748" i="1"/>
  <c r="B748" i="1" s="1"/>
  <c r="F748" i="1"/>
  <c r="E748" i="1"/>
  <c r="A748" i="1"/>
  <c r="J747" i="1"/>
  <c r="B747" i="1" s="1"/>
  <c r="F747" i="1"/>
  <c r="E747" i="1" s="1"/>
  <c r="C747" i="1"/>
  <c r="A747" i="1"/>
  <c r="F746" i="1"/>
  <c r="E746" i="1" s="1"/>
  <c r="J746" i="1"/>
  <c r="F745" i="1"/>
  <c r="E745" i="1" s="1"/>
  <c r="J745" i="1"/>
  <c r="C745" i="1"/>
  <c r="F744" i="1"/>
  <c r="E744" i="1" s="1"/>
  <c r="J743" i="1"/>
  <c r="F743" i="1"/>
  <c r="E743" i="1" s="1"/>
  <c r="A743" i="1"/>
  <c r="J742" i="1"/>
  <c r="B742" i="1" s="1"/>
  <c r="F742" i="1"/>
  <c r="E742" i="1" s="1"/>
  <c r="C742" i="1"/>
  <c r="A742" i="1"/>
  <c r="B741" i="1"/>
  <c r="J741" i="1"/>
  <c r="C741" i="1"/>
  <c r="A740" i="1"/>
  <c r="F740" i="1"/>
  <c r="E740" i="1" s="1"/>
  <c r="C739" i="1"/>
  <c r="F739" i="1"/>
  <c r="E739" i="1" s="1"/>
  <c r="A739" i="1"/>
  <c r="J738" i="1"/>
  <c r="F738" i="1"/>
  <c r="E738" i="1" s="1"/>
  <c r="C738" i="1"/>
  <c r="A738" i="1"/>
  <c r="F737" i="1"/>
  <c r="E737" i="1" s="1"/>
  <c r="J737" i="1"/>
  <c r="C737" i="1"/>
  <c r="F736" i="1"/>
  <c r="E736" i="1" s="1"/>
  <c r="J735" i="1"/>
  <c r="F735" i="1"/>
  <c r="E735" i="1" s="1"/>
  <c r="A735" i="1"/>
  <c r="J734" i="1"/>
  <c r="F734" i="1"/>
  <c r="E734" i="1" s="1"/>
  <c r="C734" i="1"/>
  <c r="B734" i="1"/>
  <c r="A734" i="1"/>
  <c r="J733" i="1"/>
  <c r="C733" i="1"/>
  <c r="A732" i="1"/>
  <c r="C731" i="1"/>
  <c r="F731" i="1"/>
  <c r="E731" i="1" s="1"/>
  <c r="A731" i="1"/>
  <c r="J730" i="1"/>
  <c r="F730" i="1"/>
  <c r="E730" i="1" s="1"/>
  <c r="C730" i="1"/>
  <c r="B730" i="1"/>
  <c r="A730" i="1"/>
  <c r="F729" i="1"/>
  <c r="E729" i="1" s="1"/>
  <c r="J729" i="1"/>
  <c r="C729" i="1"/>
  <c r="F728" i="1"/>
  <c r="E728" i="1"/>
  <c r="J727" i="1"/>
  <c r="F727" i="1"/>
  <c r="E727" i="1" s="1"/>
  <c r="A727" i="1"/>
  <c r="J726" i="1"/>
  <c r="F726" i="1"/>
  <c r="E726" i="1" s="1"/>
  <c r="C726" i="1"/>
  <c r="B726" i="1"/>
  <c r="A726" i="1"/>
  <c r="J725" i="1"/>
  <c r="C725" i="1"/>
  <c r="C723" i="1"/>
  <c r="F723" i="1"/>
  <c r="E723" i="1" s="1"/>
  <c r="A723" i="1"/>
  <c r="J722" i="1"/>
  <c r="F722" i="1"/>
  <c r="E722" i="1" s="1"/>
  <c r="C722" i="1"/>
  <c r="B722" i="1"/>
  <c r="A722" i="1"/>
  <c r="F721" i="1"/>
  <c r="E721" i="1" s="1"/>
  <c r="J721" i="1"/>
  <c r="C721" i="1"/>
  <c r="J719" i="1"/>
  <c r="F719" i="1"/>
  <c r="E719" i="1" s="1"/>
  <c r="A719" i="1"/>
  <c r="J718" i="1"/>
  <c r="F718" i="1"/>
  <c r="E718" i="1" s="1"/>
  <c r="C718" i="1"/>
  <c r="B718" i="1"/>
  <c r="A718" i="1"/>
  <c r="J717" i="1"/>
  <c r="C717" i="1"/>
  <c r="C715" i="1"/>
  <c r="F715" i="1"/>
  <c r="E715" i="1" s="1"/>
  <c r="A715" i="1"/>
  <c r="J714" i="1"/>
  <c r="F714" i="1"/>
  <c r="E714" i="1" s="1"/>
  <c r="C714" i="1"/>
  <c r="B714" i="1"/>
  <c r="A714" i="1"/>
  <c r="F713" i="1"/>
  <c r="E713" i="1" s="1"/>
  <c r="J713" i="1"/>
  <c r="C713" i="1"/>
  <c r="J711" i="1"/>
  <c r="F711" i="1"/>
  <c r="E711" i="1" s="1"/>
  <c r="A711" i="1"/>
  <c r="J710" i="1"/>
  <c r="F710" i="1"/>
  <c r="E710" i="1" s="1"/>
  <c r="C710" i="1"/>
  <c r="B710" i="1"/>
  <c r="A710" i="1"/>
  <c r="J709" i="1"/>
  <c r="C709" i="1"/>
  <c r="C707" i="1"/>
  <c r="F707" i="1"/>
  <c r="E707" i="1" s="1"/>
  <c r="A707" i="1"/>
  <c r="J706" i="1"/>
  <c r="F706" i="1"/>
  <c r="E706" i="1" s="1"/>
  <c r="C706" i="1"/>
  <c r="B706" i="1"/>
  <c r="A706" i="1"/>
  <c r="F705" i="1"/>
  <c r="E705" i="1" s="1"/>
  <c r="J705" i="1"/>
  <c r="C705" i="1"/>
  <c r="A704" i="1"/>
  <c r="J703" i="1"/>
  <c r="F703" i="1"/>
  <c r="E703" i="1" s="1"/>
  <c r="A703" i="1"/>
  <c r="J702" i="1"/>
  <c r="B702" i="1" s="1"/>
  <c r="F702" i="1"/>
  <c r="E702" i="1" s="1"/>
  <c r="C702" i="1"/>
  <c r="A702" i="1"/>
  <c r="J701" i="1"/>
  <c r="F700" i="1"/>
  <c r="E700" i="1" s="1"/>
  <c r="A700" i="1"/>
  <c r="C699" i="1"/>
  <c r="F699" i="1"/>
  <c r="E699" i="1" s="1"/>
  <c r="A699" i="1"/>
  <c r="J698" i="1"/>
  <c r="B698" i="1" s="1"/>
  <c r="F698" i="1"/>
  <c r="E698" i="1" s="1"/>
  <c r="C698" i="1"/>
  <c r="A698" i="1"/>
  <c r="J697" i="1"/>
  <c r="F696" i="1"/>
  <c r="E696" i="1" s="1"/>
  <c r="A696" i="1"/>
  <c r="J695" i="1"/>
  <c r="F695" i="1"/>
  <c r="E695" i="1" s="1"/>
  <c r="A695" i="1"/>
  <c r="J694" i="1"/>
  <c r="B694" i="1" s="1"/>
  <c r="F694" i="1"/>
  <c r="E694" i="1" s="1"/>
  <c r="C694" i="1"/>
  <c r="A694" i="1"/>
  <c r="J693" i="1"/>
  <c r="F692" i="1"/>
  <c r="E692" i="1" s="1"/>
  <c r="A692" i="1"/>
  <c r="C691" i="1"/>
  <c r="F691" i="1"/>
  <c r="E691" i="1" s="1"/>
  <c r="A691" i="1"/>
  <c r="J690" i="1"/>
  <c r="B690" i="1" s="1"/>
  <c r="F690" i="1"/>
  <c r="E690" i="1" s="1"/>
  <c r="C690" i="1"/>
  <c r="A690" i="1"/>
  <c r="F689" i="1"/>
  <c r="E689" i="1" s="1"/>
  <c r="A689" i="1"/>
  <c r="J688" i="1"/>
  <c r="A688" i="1"/>
  <c r="J687" i="1"/>
  <c r="F687" i="1"/>
  <c r="E687" i="1" s="1"/>
  <c r="A687" i="1"/>
  <c r="F686" i="1"/>
  <c r="E686" i="1" s="1"/>
  <c r="C686" i="1"/>
  <c r="A686" i="1"/>
  <c r="A685" i="1"/>
  <c r="F684" i="1"/>
  <c r="E684" i="1" s="1"/>
  <c r="C684" i="1"/>
  <c r="A684" i="1"/>
  <c r="C683" i="1"/>
  <c r="A683" i="1"/>
  <c r="J682" i="1"/>
  <c r="F682" i="1"/>
  <c r="E682" i="1"/>
  <c r="C682" i="1"/>
  <c r="B682" i="1"/>
  <c r="A682" i="1"/>
  <c r="F681" i="1"/>
  <c r="J681" i="1"/>
  <c r="B681" i="1" s="1"/>
  <c r="E681" i="1"/>
  <c r="C681" i="1"/>
  <c r="A681" i="1"/>
  <c r="J680" i="1"/>
  <c r="F680" i="1"/>
  <c r="E680" i="1" s="1"/>
  <c r="C680" i="1"/>
  <c r="A680" i="1"/>
  <c r="J679" i="1"/>
  <c r="F679" i="1"/>
  <c r="E679" i="1" s="1"/>
  <c r="C679" i="1"/>
  <c r="B679" i="1"/>
  <c r="A679" i="1"/>
  <c r="J678" i="1"/>
  <c r="F678" i="1"/>
  <c r="E678" i="1" s="1"/>
  <c r="C678" i="1"/>
  <c r="A678" i="1"/>
  <c r="C677" i="1"/>
  <c r="J676" i="1"/>
  <c r="F676" i="1"/>
  <c r="E676" i="1" s="1"/>
  <c r="C676" i="1"/>
  <c r="A676" i="1"/>
  <c r="F675" i="1"/>
  <c r="E675" i="1" s="1"/>
  <c r="J674" i="1"/>
  <c r="B674" i="1" s="1"/>
  <c r="F674" i="1"/>
  <c r="E674" i="1" s="1"/>
  <c r="C674" i="1"/>
  <c r="A674" i="1"/>
  <c r="J673" i="1"/>
  <c r="B672" i="1"/>
  <c r="J672" i="1"/>
  <c r="F672" i="1"/>
  <c r="E672" i="1" s="1"/>
  <c r="C672" i="1"/>
  <c r="A672" i="1"/>
  <c r="A671" i="1"/>
  <c r="J670" i="1"/>
  <c r="F670" i="1"/>
  <c r="E670" i="1" s="1"/>
  <c r="C670" i="1"/>
  <c r="A670" i="1"/>
  <c r="C669" i="1"/>
  <c r="B668" i="1"/>
  <c r="J668" i="1"/>
  <c r="F668" i="1"/>
  <c r="E668" i="1" s="1"/>
  <c r="C668" i="1"/>
  <c r="A668" i="1"/>
  <c r="F667" i="1"/>
  <c r="E667" i="1" s="1"/>
  <c r="J666" i="1"/>
  <c r="B666" i="1" s="1"/>
  <c r="F666" i="1"/>
  <c r="E666" i="1" s="1"/>
  <c r="C666" i="1"/>
  <c r="A666" i="1"/>
  <c r="J665" i="1"/>
  <c r="J664" i="1"/>
  <c r="F664" i="1"/>
  <c r="E664" i="1" s="1"/>
  <c r="C664" i="1"/>
  <c r="A664" i="1"/>
  <c r="A663" i="1"/>
  <c r="J662" i="1"/>
  <c r="F662" i="1"/>
  <c r="E662" i="1" s="1"/>
  <c r="C662" i="1"/>
  <c r="A662" i="1"/>
  <c r="C661" i="1"/>
  <c r="B660" i="1"/>
  <c r="J660" i="1"/>
  <c r="F660" i="1"/>
  <c r="E660" i="1" s="1"/>
  <c r="C660" i="1"/>
  <c r="A660" i="1"/>
  <c r="F659" i="1"/>
  <c r="E659" i="1" s="1"/>
  <c r="J658" i="1"/>
  <c r="B658" i="1" s="1"/>
  <c r="F658" i="1"/>
  <c r="E658" i="1" s="1"/>
  <c r="C658" i="1"/>
  <c r="A658" i="1"/>
  <c r="J657" i="1"/>
  <c r="J656" i="1"/>
  <c r="F656" i="1"/>
  <c r="E656" i="1" s="1"/>
  <c r="C656" i="1"/>
  <c r="A656" i="1"/>
  <c r="A655" i="1"/>
  <c r="J654" i="1"/>
  <c r="F654" i="1"/>
  <c r="E654" i="1" s="1"/>
  <c r="C654" i="1"/>
  <c r="A654" i="1"/>
  <c r="C653" i="1"/>
  <c r="J652" i="1"/>
  <c r="F652" i="1"/>
  <c r="E652" i="1" s="1"/>
  <c r="C652" i="1"/>
  <c r="A652" i="1"/>
  <c r="F651" i="1"/>
  <c r="E651" i="1" s="1"/>
  <c r="J650" i="1"/>
  <c r="B650" i="1" s="1"/>
  <c r="F650" i="1"/>
  <c r="E650" i="1" s="1"/>
  <c r="C650" i="1"/>
  <c r="A650" i="1"/>
  <c r="J649" i="1"/>
  <c r="B648" i="1"/>
  <c r="J648" i="1"/>
  <c r="F648" i="1"/>
  <c r="E648" i="1" s="1"/>
  <c r="C648" i="1"/>
  <c r="A648" i="1"/>
  <c r="A647" i="1"/>
  <c r="J646" i="1"/>
  <c r="F646" i="1"/>
  <c r="E646" i="1" s="1"/>
  <c r="C646" i="1"/>
  <c r="A646" i="1"/>
  <c r="C645" i="1"/>
  <c r="J644" i="1"/>
  <c r="F644" i="1"/>
  <c r="E644" i="1" s="1"/>
  <c r="C644" i="1"/>
  <c r="A644" i="1"/>
  <c r="F643" i="1"/>
  <c r="E643" i="1" s="1"/>
  <c r="J642" i="1"/>
  <c r="B642" i="1" s="1"/>
  <c r="F642" i="1"/>
  <c r="E642" i="1" s="1"/>
  <c r="C642" i="1"/>
  <c r="A642" i="1"/>
  <c r="J641" i="1"/>
  <c r="B640" i="1"/>
  <c r="J640" i="1"/>
  <c r="F640" i="1"/>
  <c r="E640" i="1" s="1"/>
  <c r="C640" i="1"/>
  <c r="A640" i="1"/>
  <c r="A639" i="1"/>
  <c r="J638" i="1"/>
  <c r="F638" i="1"/>
  <c r="E638" i="1" s="1"/>
  <c r="C638" i="1"/>
  <c r="A638" i="1"/>
  <c r="C637" i="1"/>
  <c r="B636" i="1"/>
  <c r="J636" i="1"/>
  <c r="F636" i="1"/>
  <c r="E636" i="1" s="1"/>
  <c r="C636" i="1"/>
  <c r="A636" i="1"/>
  <c r="F635" i="1"/>
  <c r="E635" i="1" s="1"/>
  <c r="J634" i="1"/>
  <c r="B634" i="1" s="1"/>
  <c r="F634" i="1"/>
  <c r="E634" i="1" s="1"/>
  <c r="C634" i="1"/>
  <c r="A634" i="1"/>
  <c r="J633" i="1"/>
  <c r="J632" i="1"/>
  <c r="F632" i="1"/>
  <c r="E632" i="1" s="1"/>
  <c r="C632" i="1"/>
  <c r="A632" i="1"/>
  <c r="A631" i="1"/>
  <c r="J630" i="1"/>
  <c r="F630" i="1"/>
  <c r="E630" i="1" s="1"/>
  <c r="C630" i="1"/>
  <c r="A630" i="1"/>
  <c r="J628" i="1"/>
  <c r="F628" i="1"/>
  <c r="E628" i="1" s="1"/>
  <c r="C628" i="1"/>
  <c r="A628" i="1"/>
  <c r="F627" i="1"/>
  <c r="E627" i="1" s="1"/>
  <c r="J626" i="1"/>
  <c r="F626" i="1"/>
  <c r="E626" i="1" s="1"/>
  <c r="C626" i="1"/>
  <c r="A626" i="1"/>
  <c r="B624" i="1"/>
  <c r="J624" i="1"/>
  <c r="F624" i="1"/>
  <c r="E624" i="1" s="1"/>
  <c r="C624" i="1"/>
  <c r="A624" i="1"/>
  <c r="A623" i="1"/>
  <c r="J622" i="1"/>
  <c r="F622" i="1"/>
  <c r="E622" i="1" s="1"/>
  <c r="C622" i="1"/>
  <c r="A622" i="1"/>
  <c r="B620" i="1"/>
  <c r="J620" i="1"/>
  <c r="F620" i="1"/>
  <c r="E620" i="1" s="1"/>
  <c r="C620" i="1"/>
  <c r="A620" i="1"/>
  <c r="F619" i="1"/>
  <c r="E619" i="1" s="1"/>
  <c r="J618" i="1"/>
  <c r="F618" i="1"/>
  <c r="E618" i="1" s="1"/>
  <c r="C618" i="1"/>
  <c r="A618" i="1"/>
  <c r="J616" i="1"/>
  <c r="F616" i="1"/>
  <c r="E616" i="1" s="1"/>
  <c r="C616" i="1"/>
  <c r="A616" i="1"/>
  <c r="J614" i="1"/>
  <c r="F614" i="1"/>
  <c r="E614" i="1" s="1"/>
  <c r="C614" i="1"/>
  <c r="A614" i="1"/>
  <c r="J612" i="1"/>
  <c r="F612" i="1"/>
  <c r="E612" i="1" s="1"/>
  <c r="C612" i="1"/>
  <c r="A612" i="1"/>
  <c r="J610" i="1"/>
  <c r="F610" i="1"/>
  <c r="E610" i="1" s="1"/>
  <c r="C610" i="1"/>
  <c r="A610" i="1"/>
  <c r="B608" i="1"/>
  <c r="J608" i="1"/>
  <c r="F608" i="1"/>
  <c r="E608" i="1" s="1"/>
  <c r="C608" i="1"/>
  <c r="A608" i="1"/>
  <c r="J606" i="1"/>
  <c r="F606" i="1"/>
  <c r="E606" i="1" s="1"/>
  <c r="C606" i="1"/>
  <c r="A606" i="1"/>
  <c r="J604" i="1"/>
  <c r="F604" i="1"/>
  <c r="E604" i="1" s="1"/>
  <c r="C604" i="1"/>
  <c r="A604" i="1"/>
  <c r="F603" i="1"/>
  <c r="E603" i="1"/>
  <c r="J602" i="1"/>
  <c r="B602" i="1" s="1"/>
  <c r="F602" i="1"/>
  <c r="E602" i="1" s="1"/>
  <c r="C602" i="1"/>
  <c r="A602" i="1"/>
  <c r="J601" i="1"/>
  <c r="C601" i="1"/>
  <c r="J600" i="1"/>
  <c r="F600" i="1"/>
  <c r="E600" i="1" s="1"/>
  <c r="C600" i="1"/>
  <c r="J599" i="1"/>
  <c r="F599" i="1"/>
  <c r="E599" i="1" s="1"/>
  <c r="C599" i="1"/>
  <c r="B599" i="1"/>
  <c r="A599" i="1"/>
  <c r="A598" i="1"/>
  <c r="J598" i="1"/>
  <c r="B598" i="1" s="1"/>
  <c r="F598" i="1"/>
  <c r="E598" i="1" s="1"/>
  <c r="J597" i="1"/>
  <c r="F597" i="1"/>
  <c r="E597" i="1" s="1"/>
  <c r="C597" i="1"/>
  <c r="A597" i="1"/>
  <c r="C596" i="1"/>
  <c r="J596" i="1"/>
  <c r="J595" i="1"/>
  <c r="F595" i="1"/>
  <c r="E595" i="1"/>
  <c r="C595" i="1"/>
  <c r="A595" i="1"/>
  <c r="F594" i="1"/>
  <c r="E594" i="1" s="1"/>
  <c r="A594" i="1"/>
  <c r="J593" i="1"/>
  <c r="B593" i="1" s="1"/>
  <c r="F593" i="1"/>
  <c r="E593" i="1" s="1"/>
  <c r="C593" i="1"/>
  <c r="A593" i="1"/>
  <c r="J592" i="1"/>
  <c r="C592" i="1"/>
  <c r="F591" i="1"/>
  <c r="E591" i="1" s="1"/>
  <c r="F590" i="1"/>
  <c r="E590" i="1" s="1"/>
  <c r="J589" i="1"/>
  <c r="F589" i="1"/>
  <c r="E589" i="1" s="1"/>
  <c r="C589" i="1"/>
  <c r="B589" i="1"/>
  <c r="A589" i="1"/>
  <c r="C588" i="1"/>
  <c r="J588" i="1"/>
  <c r="B587" i="1"/>
  <c r="J587" i="1"/>
  <c r="F587" i="1"/>
  <c r="E587" i="1" s="1"/>
  <c r="C587" i="1"/>
  <c r="A587" i="1"/>
  <c r="F586" i="1"/>
  <c r="E586" i="1" s="1"/>
  <c r="A586" i="1"/>
  <c r="B585" i="1"/>
  <c r="J585" i="1"/>
  <c r="F585" i="1"/>
  <c r="E585" i="1" s="1"/>
  <c r="C585" i="1"/>
  <c r="A585" i="1"/>
  <c r="J584" i="1"/>
  <c r="C584" i="1"/>
  <c r="F583" i="1"/>
  <c r="E583" i="1" s="1"/>
  <c r="F582" i="1"/>
  <c r="E582" i="1" s="1"/>
  <c r="J581" i="1"/>
  <c r="F581" i="1"/>
  <c r="E581" i="1" s="1"/>
  <c r="C581" i="1"/>
  <c r="A581" i="1"/>
  <c r="C580" i="1"/>
  <c r="J580" i="1"/>
  <c r="J579" i="1"/>
  <c r="F579" i="1"/>
  <c r="E579" i="1" s="1"/>
  <c r="C579" i="1"/>
  <c r="A579" i="1"/>
  <c r="F578" i="1"/>
  <c r="E578" i="1" s="1"/>
  <c r="A578" i="1"/>
  <c r="B577" i="1"/>
  <c r="J577" i="1"/>
  <c r="F577" i="1"/>
  <c r="E577" i="1" s="1"/>
  <c r="C577" i="1"/>
  <c r="A577" i="1"/>
  <c r="J576" i="1"/>
  <c r="C576" i="1"/>
  <c r="F575" i="1"/>
  <c r="E575" i="1" s="1"/>
  <c r="F574" i="1"/>
  <c r="E574" i="1" s="1"/>
  <c r="J573" i="1"/>
  <c r="F573" i="1"/>
  <c r="E573" i="1" s="1"/>
  <c r="C573" i="1"/>
  <c r="A573" i="1"/>
  <c r="C572" i="1"/>
  <c r="J572" i="1"/>
  <c r="B571" i="1"/>
  <c r="J571" i="1"/>
  <c r="F571" i="1"/>
  <c r="E571" i="1"/>
  <c r="C571" i="1"/>
  <c r="A571" i="1"/>
  <c r="F570" i="1"/>
  <c r="E570" i="1" s="1"/>
  <c r="A570" i="1"/>
  <c r="J569" i="1"/>
  <c r="B569" i="1" s="1"/>
  <c r="F569" i="1"/>
  <c r="E569" i="1" s="1"/>
  <c r="C569" i="1"/>
  <c r="A569" i="1"/>
  <c r="J568" i="1"/>
  <c r="C568" i="1"/>
  <c r="F567" i="1"/>
  <c r="E567" i="1" s="1"/>
  <c r="F566" i="1"/>
  <c r="E566" i="1" s="1"/>
  <c r="J565" i="1"/>
  <c r="F565" i="1"/>
  <c r="E565" i="1" s="1"/>
  <c r="C565" i="1"/>
  <c r="A565" i="1"/>
  <c r="C564" i="1"/>
  <c r="J564" i="1"/>
  <c r="B563" i="1"/>
  <c r="J563" i="1"/>
  <c r="F563" i="1"/>
  <c r="E563" i="1"/>
  <c r="C563" i="1"/>
  <c r="A563" i="1"/>
  <c r="F562" i="1"/>
  <c r="E562" i="1" s="1"/>
  <c r="A562" i="1"/>
  <c r="J561" i="1"/>
  <c r="B561" i="1" s="1"/>
  <c r="F561" i="1"/>
  <c r="E561" i="1" s="1"/>
  <c r="C561" i="1"/>
  <c r="A561" i="1"/>
  <c r="J560" i="1"/>
  <c r="C560" i="1"/>
  <c r="F559" i="1"/>
  <c r="E559" i="1" s="1"/>
  <c r="F558" i="1"/>
  <c r="E558" i="1" s="1"/>
  <c r="J557" i="1"/>
  <c r="F557" i="1"/>
  <c r="E557" i="1" s="1"/>
  <c r="C557" i="1"/>
  <c r="B557" i="1"/>
  <c r="A557" i="1"/>
  <c r="C556" i="1"/>
  <c r="J556" i="1"/>
  <c r="J555" i="1"/>
  <c r="F555" i="1"/>
  <c r="E555" i="1"/>
  <c r="C555" i="1"/>
  <c r="A555" i="1"/>
  <c r="F554" i="1"/>
  <c r="E554" i="1" s="1"/>
  <c r="A554" i="1"/>
  <c r="J553" i="1"/>
  <c r="B553" i="1" s="1"/>
  <c r="F553" i="1"/>
  <c r="E553" i="1" s="1"/>
  <c r="C553" i="1"/>
  <c r="A553" i="1"/>
  <c r="J552" i="1"/>
  <c r="C552" i="1"/>
  <c r="F551" i="1"/>
  <c r="E551" i="1" s="1"/>
  <c r="F550" i="1"/>
  <c r="E550" i="1" s="1"/>
  <c r="J549" i="1"/>
  <c r="F549" i="1"/>
  <c r="E549" i="1" s="1"/>
  <c r="C549" i="1"/>
  <c r="B549" i="1"/>
  <c r="A549" i="1"/>
  <c r="C548" i="1"/>
  <c r="J548" i="1"/>
  <c r="J547" i="1"/>
  <c r="F547" i="1"/>
  <c r="E547" i="1"/>
  <c r="C547" i="1"/>
  <c r="A547" i="1"/>
  <c r="F546" i="1"/>
  <c r="E546" i="1" s="1"/>
  <c r="A546" i="1"/>
  <c r="J545" i="1"/>
  <c r="B545" i="1" s="1"/>
  <c r="F545" i="1"/>
  <c r="E545" i="1" s="1"/>
  <c r="C545" i="1"/>
  <c r="A545" i="1"/>
  <c r="J544" i="1"/>
  <c r="C544" i="1"/>
  <c r="F543" i="1"/>
  <c r="E543" i="1" s="1"/>
  <c r="F542" i="1"/>
  <c r="E542" i="1" s="1"/>
  <c r="J541" i="1"/>
  <c r="F541" i="1"/>
  <c r="E541" i="1" s="1"/>
  <c r="C541" i="1"/>
  <c r="B541" i="1"/>
  <c r="A541" i="1"/>
  <c r="C540" i="1"/>
  <c r="J540" i="1"/>
  <c r="J539" i="1"/>
  <c r="F539" i="1"/>
  <c r="E539" i="1" s="1"/>
  <c r="C539" i="1"/>
  <c r="A539" i="1"/>
  <c r="F538" i="1"/>
  <c r="E538" i="1" s="1"/>
  <c r="A538" i="1"/>
  <c r="B537" i="1"/>
  <c r="J537" i="1"/>
  <c r="F537" i="1"/>
  <c r="E537" i="1" s="1"/>
  <c r="C537" i="1"/>
  <c r="A537" i="1"/>
  <c r="J536" i="1"/>
  <c r="C536" i="1"/>
  <c r="F534" i="1"/>
  <c r="E534" i="1" s="1"/>
  <c r="J533" i="1"/>
  <c r="F533" i="1"/>
  <c r="E533" i="1"/>
  <c r="C533" i="1"/>
  <c r="A533" i="1"/>
  <c r="J532" i="1"/>
  <c r="C532" i="1"/>
  <c r="J531" i="1"/>
  <c r="F531" i="1"/>
  <c r="E531" i="1" s="1"/>
  <c r="C531" i="1"/>
  <c r="B531" i="1"/>
  <c r="A531" i="1"/>
  <c r="F530" i="1"/>
  <c r="E530" i="1" s="1"/>
  <c r="A530" i="1"/>
  <c r="A529" i="1"/>
  <c r="J528" i="1"/>
  <c r="B527" i="1"/>
  <c r="J527" i="1"/>
  <c r="F527" i="1"/>
  <c r="E527" i="1" s="1"/>
  <c r="C527" i="1"/>
  <c r="A527" i="1"/>
  <c r="F526" i="1"/>
  <c r="E526" i="1" s="1"/>
  <c r="J525" i="1"/>
  <c r="F525" i="1"/>
  <c r="E525" i="1" s="1"/>
  <c r="C525" i="1"/>
  <c r="A525" i="1"/>
  <c r="C524" i="1"/>
  <c r="J523" i="1"/>
  <c r="F523" i="1"/>
  <c r="E523" i="1" s="1"/>
  <c r="C523" i="1"/>
  <c r="A523" i="1"/>
  <c r="A522" i="1"/>
  <c r="J521" i="1"/>
  <c r="J520" i="1"/>
  <c r="B520" i="1"/>
  <c r="J519" i="1"/>
  <c r="J518" i="1"/>
  <c r="F518" i="1"/>
  <c r="E518" i="1" s="1"/>
  <c r="J517" i="1"/>
  <c r="F517" i="1"/>
  <c r="E517" i="1"/>
  <c r="C517" i="1"/>
  <c r="A517" i="1"/>
  <c r="F516" i="1"/>
  <c r="E516" i="1" s="1"/>
  <c r="J515" i="1"/>
  <c r="F515" i="1"/>
  <c r="E515" i="1" s="1"/>
  <c r="C515" i="1"/>
  <c r="A515" i="1"/>
  <c r="J514" i="1"/>
  <c r="F514" i="1"/>
  <c r="E514" i="1" s="1"/>
  <c r="C514" i="1"/>
  <c r="B514" i="1"/>
  <c r="A514" i="1"/>
  <c r="B513" i="1"/>
  <c r="J513" i="1"/>
  <c r="C513" i="1"/>
  <c r="A513" i="1"/>
  <c r="F512" i="1"/>
  <c r="E512" i="1" s="1"/>
  <c r="A512" i="1"/>
  <c r="J511" i="1"/>
  <c r="C510" i="1"/>
  <c r="J510" i="1"/>
  <c r="B510" i="1" s="1"/>
  <c r="F510" i="1"/>
  <c r="E510" i="1"/>
  <c r="A510" i="1"/>
  <c r="C509" i="1"/>
  <c r="J509" i="1"/>
  <c r="F509" i="1"/>
  <c r="E509" i="1" s="1"/>
  <c r="A509" i="1"/>
  <c r="C508" i="1"/>
  <c r="A508" i="1"/>
  <c r="A507" i="1"/>
  <c r="C506" i="1"/>
  <c r="J506" i="1"/>
  <c r="F506" i="1"/>
  <c r="E506" i="1"/>
  <c r="A506" i="1"/>
  <c r="J505" i="1"/>
  <c r="C504" i="1"/>
  <c r="J504" i="1"/>
  <c r="F504" i="1"/>
  <c r="E504" i="1" s="1"/>
  <c r="J503" i="1"/>
  <c r="B503" i="1" s="1"/>
  <c r="F503" i="1"/>
  <c r="E503" i="1"/>
  <c r="C503" i="1"/>
  <c r="A503" i="1"/>
  <c r="F502" i="1"/>
  <c r="E502" i="1" s="1"/>
  <c r="C502" i="1"/>
  <c r="C501" i="1"/>
  <c r="J501" i="1"/>
  <c r="F501" i="1"/>
  <c r="E501" i="1"/>
  <c r="B501" i="1"/>
  <c r="A501" i="1"/>
  <c r="C500" i="1"/>
  <c r="A500" i="1"/>
  <c r="A499" i="1"/>
  <c r="C498" i="1"/>
  <c r="J498" i="1"/>
  <c r="F498" i="1"/>
  <c r="E498" i="1" s="1"/>
  <c r="A498" i="1"/>
  <c r="J497" i="1"/>
  <c r="C496" i="1"/>
  <c r="J496" i="1"/>
  <c r="F496" i="1"/>
  <c r="E496" i="1" s="1"/>
  <c r="J495" i="1"/>
  <c r="B495" i="1" s="1"/>
  <c r="F495" i="1"/>
  <c r="E495" i="1"/>
  <c r="C495" i="1"/>
  <c r="A495" i="1"/>
  <c r="F494" i="1"/>
  <c r="E494" i="1" s="1"/>
  <c r="C494" i="1"/>
  <c r="C493" i="1"/>
  <c r="J493" i="1"/>
  <c r="F493" i="1"/>
  <c r="E493" i="1"/>
  <c r="A493" i="1"/>
  <c r="C492" i="1"/>
  <c r="A492" i="1"/>
  <c r="A491" i="1"/>
  <c r="C490" i="1"/>
  <c r="J490" i="1"/>
  <c r="F490" i="1"/>
  <c r="E490" i="1"/>
  <c r="A490" i="1"/>
  <c r="J489" i="1"/>
  <c r="C488" i="1"/>
  <c r="J488" i="1"/>
  <c r="F488" i="1"/>
  <c r="E488" i="1" s="1"/>
  <c r="J487" i="1"/>
  <c r="B487" i="1" s="1"/>
  <c r="F487" i="1"/>
  <c r="E487" i="1" s="1"/>
  <c r="C487" i="1"/>
  <c r="A487" i="1"/>
  <c r="F486" i="1"/>
  <c r="E486" i="1" s="1"/>
  <c r="C486" i="1"/>
  <c r="C485" i="1"/>
  <c r="J485" i="1"/>
  <c r="F485" i="1"/>
  <c r="E485" i="1"/>
  <c r="A485" i="1"/>
  <c r="C484" i="1"/>
  <c r="A484" i="1"/>
  <c r="A483" i="1"/>
  <c r="C482" i="1"/>
  <c r="J482" i="1"/>
  <c r="F482" i="1"/>
  <c r="E482" i="1"/>
  <c r="A482" i="1"/>
  <c r="J481" i="1"/>
  <c r="C480" i="1"/>
  <c r="J480" i="1"/>
  <c r="F480" i="1"/>
  <c r="E480" i="1" s="1"/>
  <c r="J479" i="1"/>
  <c r="B479" i="1" s="1"/>
  <c r="F479" i="1"/>
  <c r="E479" i="1"/>
  <c r="C479" i="1"/>
  <c r="A479" i="1"/>
  <c r="F478" i="1"/>
  <c r="E478" i="1" s="1"/>
  <c r="C478" i="1"/>
  <c r="C477" i="1"/>
  <c r="J477" i="1"/>
  <c r="F477" i="1"/>
  <c r="E477" i="1" s="1"/>
  <c r="A477" i="1"/>
  <c r="C476" i="1"/>
  <c r="A476" i="1"/>
  <c r="A475" i="1"/>
  <c r="C474" i="1"/>
  <c r="J474" i="1"/>
  <c r="F474" i="1"/>
  <c r="E474" i="1"/>
  <c r="A474" i="1"/>
  <c r="J473" i="1"/>
  <c r="C472" i="1"/>
  <c r="J472" i="1"/>
  <c r="F472" i="1"/>
  <c r="E472" i="1" s="1"/>
  <c r="J471" i="1"/>
  <c r="B471" i="1" s="1"/>
  <c r="F471" i="1"/>
  <c r="E471" i="1"/>
  <c r="C471" i="1"/>
  <c r="A471" i="1"/>
  <c r="F470" i="1"/>
  <c r="E470" i="1" s="1"/>
  <c r="C470" i="1"/>
  <c r="C469" i="1"/>
  <c r="J469" i="1"/>
  <c r="F469" i="1"/>
  <c r="E469" i="1"/>
  <c r="B469" i="1"/>
  <c r="A469" i="1"/>
  <c r="C468" i="1"/>
  <c r="A468" i="1"/>
  <c r="A467" i="1"/>
  <c r="C466" i="1"/>
  <c r="J466" i="1"/>
  <c r="F466" i="1"/>
  <c r="E466" i="1" s="1"/>
  <c r="A466" i="1"/>
  <c r="J465" i="1"/>
  <c r="C464" i="1"/>
  <c r="J464" i="1"/>
  <c r="F464" i="1"/>
  <c r="E464" i="1" s="1"/>
  <c r="J463" i="1"/>
  <c r="B463" i="1" s="1"/>
  <c r="F463" i="1"/>
  <c r="E463" i="1"/>
  <c r="C463" i="1"/>
  <c r="A463" i="1"/>
  <c r="F462" i="1"/>
  <c r="E462" i="1" s="1"/>
  <c r="C462" i="1"/>
  <c r="C461" i="1"/>
  <c r="J461" i="1"/>
  <c r="F461" i="1"/>
  <c r="E461" i="1"/>
  <c r="A461" i="1"/>
  <c r="C460" i="1"/>
  <c r="A460" i="1"/>
  <c r="A459" i="1"/>
  <c r="C458" i="1"/>
  <c r="J458" i="1"/>
  <c r="F458" i="1"/>
  <c r="E458" i="1"/>
  <c r="A458" i="1"/>
  <c r="J457" i="1"/>
  <c r="C456" i="1"/>
  <c r="J456" i="1"/>
  <c r="F456" i="1"/>
  <c r="E456" i="1" s="1"/>
  <c r="J455" i="1"/>
  <c r="B455" i="1" s="1"/>
  <c r="F455" i="1"/>
  <c r="E455" i="1" s="1"/>
  <c r="C455" i="1"/>
  <c r="A455" i="1"/>
  <c r="F454" i="1"/>
  <c r="E454" i="1" s="1"/>
  <c r="C454" i="1"/>
  <c r="C453" i="1"/>
  <c r="J453" i="1"/>
  <c r="F453" i="1"/>
  <c r="E453" i="1"/>
  <c r="A453" i="1"/>
  <c r="C452" i="1"/>
  <c r="A452" i="1"/>
  <c r="A451" i="1"/>
  <c r="C450" i="1"/>
  <c r="J450" i="1"/>
  <c r="F450" i="1"/>
  <c r="E450" i="1"/>
  <c r="A450" i="1"/>
  <c r="C448" i="1"/>
  <c r="J448" i="1"/>
  <c r="F448" i="1"/>
  <c r="E448" i="1" s="1"/>
  <c r="J447" i="1"/>
  <c r="B447" i="1" s="1"/>
  <c r="F447" i="1"/>
  <c r="E447" i="1" s="1"/>
  <c r="C447" i="1"/>
  <c r="A447" i="1"/>
  <c r="F446" i="1"/>
  <c r="E446" i="1" s="1"/>
  <c r="C446" i="1"/>
  <c r="C445" i="1"/>
  <c r="J445" i="1"/>
  <c r="F445" i="1"/>
  <c r="E445" i="1" s="1"/>
  <c r="A445" i="1"/>
  <c r="C444" i="1"/>
  <c r="A444" i="1"/>
  <c r="A443" i="1"/>
  <c r="C442" i="1"/>
  <c r="J442" i="1"/>
  <c r="F442" i="1"/>
  <c r="E442" i="1" s="1"/>
  <c r="A442" i="1"/>
  <c r="C440" i="1"/>
  <c r="J440" i="1"/>
  <c r="F440" i="1"/>
  <c r="E440" i="1" s="1"/>
  <c r="J439" i="1"/>
  <c r="B439" i="1" s="1"/>
  <c r="F439" i="1"/>
  <c r="E439" i="1"/>
  <c r="C439" i="1"/>
  <c r="A439" i="1"/>
  <c r="F438" i="1"/>
  <c r="E438" i="1" s="1"/>
  <c r="C438" i="1"/>
  <c r="C437" i="1"/>
  <c r="J437" i="1"/>
  <c r="F437" i="1"/>
  <c r="E437" i="1" s="1"/>
  <c r="A437" i="1"/>
  <c r="C436" i="1"/>
  <c r="A436" i="1"/>
  <c r="A435" i="1"/>
  <c r="C434" i="1"/>
  <c r="J434" i="1"/>
  <c r="F434" i="1"/>
  <c r="E434" i="1"/>
  <c r="A434" i="1"/>
  <c r="C432" i="1"/>
  <c r="J432" i="1"/>
  <c r="F432" i="1"/>
  <c r="E432" i="1" s="1"/>
  <c r="J431" i="1"/>
  <c r="B431" i="1" s="1"/>
  <c r="F431" i="1"/>
  <c r="E431" i="1"/>
  <c r="C431" i="1"/>
  <c r="A431" i="1"/>
  <c r="F430" i="1"/>
  <c r="E430" i="1" s="1"/>
  <c r="C430" i="1"/>
  <c r="C429" i="1"/>
  <c r="J429" i="1"/>
  <c r="F429" i="1"/>
  <c r="E429" i="1" s="1"/>
  <c r="A429" i="1"/>
  <c r="C428" i="1"/>
  <c r="A428" i="1"/>
  <c r="A427" i="1"/>
  <c r="C426" i="1"/>
  <c r="J426" i="1"/>
  <c r="F426" i="1"/>
  <c r="E426" i="1" s="1"/>
  <c r="A426" i="1"/>
  <c r="C424" i="1"/>
  <c r="J424" i="1"/>
  <c r="F424" i="1"/>
  <c r="E424" i="1" s="1"/>
  <c r="J423" i="1"/>
  <c r="B423" i="1" s="1"/>
  <c r="F423" i="1"/>
  <c r="E423" i="1"/>
  <c r="C423" i="1"/>
  <c r="A423" i="1"/>
  <c r="F422" i="1"/>
  <c r="E422" i="1" s="1"/>
  <c r="C422" i="1"/>
  <c r="C421" i="1"/>
  <c r="J421" i="1"/>
  <c r="F421" i="1"/>
  <c r="E421" i="1"/>
  <c r="B421" i="1"/>
  <c r="A421" i="1"/>
  <c r="C420" i="1"/>
  <c r="A420" i="1"/>
  <c r="C419" i="1"/>
  <c r="C418" i="1"/>
  <c r="J418" i="1"/>
  <c r="F418" i="1"/>
  <c r="E418" i="1" s="1"/>
  <c r="A418" i="1"/>
  <c r="C417" i="1"/>
  <c r="F416" i="1"/>
  <c r="E416" i="1" s="1"/>
  <c r="J416" i="1"/>
  <c r="J415" i="1"/>
  <c r="B415" i="1" s="1"/>
  <c r="F415" i="1"/>
  <c r="E415" i="1"/>
  <c r="C415" i="1"/>
  <c r="A415" i="1"/>
  <c r="F414" i="1"/>
  <c r="E414" i="1" s="1"/>
  <c r="C413" i="1"/>
  <c r="J413" i="1"/>
  <c r="F413" i="1"/>
  <c r="E413" i="1" s="1"/>
  <c r="A413" i="1"/>
  <c r="A412" i="1"/>
  <c r="J412" i="1"/>
  <c r="C412" i="1"/>
  <c r="A411" i="1"/>
  <c r="J411" i="1"/>
  <c r="F411" i="1"/>
  <c r="E411" i="1" s="1"/>
  <c r="C411" i="1"/>
  <c r="C410" i="1"/>
  <c r="F409" i="1"/>
  <c r="E409" i="1" s="1"/>
  <c r="J409" i="1"/>
  <c r="A408" i="1"/>
  <c r="J408" i="1"/>
  <c r="F408" i="1"/>
  <c r="E408" i="1" s="1"/>
  <c r="C408" i="1"/>
  <c r="J407" i="1"/>
  <c r="F407" i="1"/>
  <c r="E407" i="1"/>
  <c r="C407" i="1"/>
  <c r="B407" i="1"/>
  <c r="A407" i="1"/>
  <c r="C406" i="1"/>
  <c r="F406" i="1"/>
  <c r="E406" i="1" s="1"/>
  <c r="F405" i="1"/>
  <c r="E405" i="1" s="1"/>
  <c r="J405" i="1"/>
  <c r="B405" i="1" s="1"/>
  <c r="A405" i="1"/>
  <c r="C404" i="1"/>
  <c r="C403" i="1"/>
  <c r="J403" i="1"/>
  <c r="F403" i="1"/>
  <c r="E403" i="1" s="1"/>
  <c r="B403" i="1"/>
  <c r="B402" i="1"/>
  <c r="J402" i="1"/>
  <c r="F402" i="1"/>
  <c r="E402" i="1" s="1"/>
  <c r="A402" i="1"/>
  <c r="A401" i="1"/>
  <c r="A400" i="1"/>
  <c r="J400" i="1"/>
  <c r="F400" i="1"/>
  <c r="E400" i="1"/>
  <c r="C400" i="1"/>
  <c r="J399" i="1"/>
  <c r="F399" i="1"/>
  <c r="E399" i="1" s="1"/>
  <c r="C399" i="1"/>
  <c r="B399" i="1"/>
  <c r="A399" i="1"/>
  <c r="C398" i="1"/>
  <c r="F398" i="1"/>
  <c r="E398" i="1" s="1"/>
  <c r="F397" i="1"/>
  <c r="E397" i="1" s="1"/>
  <c r="J397" i="1"/>
  <c r="B397" i="1" s="1"/>
  <c r="A397" i="1"/>
  <c r="C396" i="1"/>
  <c r="C395" i="1"/>
  <c r="J395" i="1"/>
  <c r="F395" i="1"/>
  <c r="E395" i="1" s="1"/>
  <c r="J394" i="1"/>
  <c r="B394" i="1" s="1"/>
  <c r="F394" i="1"/>
  <c r="E394" i="1" s="1"/>
  <c r="A394" i="1"/>
  <c r="A393" i="1"/>
  <c r="A392" i="1"/>
  <c r="J392" i="1"/>
  <c r="F392" i="1"/>
  <c r="E392" i="1" s="1"/>
  <c r="C392" i="1"/>
  <c r="J391" i="1"/>
  <c r="F391" i="1"/>
  <c r="E391" i="1" s="1"/>
  <c r="C391" i="1"/>
  <c r="B391" i="1"/>
  <c r="A391" i="1"/>
  <c r="C390" i="1"/>
  <c r="F390" i="1"/>
  <c r="E390" i="1" s="1"/>
  <c r="C389" i="1"/>
  <c r="J389" i="1"/>
  <c r="B389" i="1" s="1"/>
  <c r="F389" i="1"/>
  <c r="E389" i="1"/>
  <c r="A389" i="1"/>
  <c r="C388" i="1"/>
  <c r="C387" i="1"/>
  <c r="J387" i="1"/>
  <c r="F387" i="1"/>
  <c r="E387" i="1" s="1"/>
  <c r="C386" i="1"/>
  <c r="J386" i="1"/>
  <c r="B386" i="1" s="1"/>
  <c r="F386" i="1"/>
  <c r="E386" i="1"/>
  <c r="A386" i="1"/>
  <c r="A385" i="1"/>
  <c r="C384" i="1"/>
  <c r="J384" i="1"/>
  <c r="F384" i="1"/>
  <c r="E384" i="1" s="1"/>
  <c r="J383" i="1"/>
  <c r="B383" i="1" s="1"/>
  <c r="F383" i="1"/>
  <c r="E383" i="1"/>
  <c r="C383" i="1"/>
  <c r="A383" i="1"/>
  <c r="C382" i="1"/>
  <c r="F382" i="1"/>
  <c r="E382" i="1" s="1"/>
  <c r="C381" i="1"/>
  <c r="J381" i="1"/>
  <c r="B381" i="1" s="1"/>
  <c r="F381" i="1"/>
  <c r="E381" i="1"/>
  <c r="A381" i="1"/>
  <c r="C380" i="1"/>
  <c r="C379" i="1"/>
  <c r="J379" i="1"/>
  <c r="F379" i="1"/>
  <c r="E379" i="1" s="1"/>
  <c r="C378" i="1"/>
  <c r="J378" i="1"/>
  <c r="B378" i="1" s="1"/>
  <c r="F378" i="1"/>
  <c r="E378" i="1" s="1"/>
  <c r="A378" i="1"/>
  <c r="A377" i="1"/>
  <c r="C376" i="1"/>
  <c r="J376" i="1"/>
  <c r="F376" i="1"/>
  <c r="E376" i="1" s="1"/>
  <c r="J375" i="1"/>
  <c r="B375" i="1" s="1"/>
  <c r="F375" i="1"/>
  <c r="E375" i="1" s="1"/>
  <c r="C375" i="1"/>
  <c r="A375" i="1"/>
  <c r="C374" i="1"/>
  <c r="F374" i="1"/>
  <c r="E374" i="1" s="1"/>
  <c r="C373" i="1"/>
  <c r="J373" i="1"/>
  <c r="B373" i="1" s="1"/>
  <c r="F373" i="1"/>
  <c r="E373" i="1"/>
  <c r="A373" i="1"/>
  <c r="C372" i="1"/>
  <c r="C371" i="1"/>
  <c r="J371" i="1"/>
  <c r="F371" i="1"/>
  <c r="E371" i="1" s="1"/>
  <c r="B371" i="1"/>
  <c r="C370" i="1"/>
  <c r="J370" i="1"/>
  <c r="B370" i="1" s="1"/>
  <c r="F370" i="1"/>
  <c r="E370" i="1"/>
  <c r="A370" i="1"/>
  <c r="A369" i="1"/>
  <c r="C368" i="1"/>
  <c r="J368" i="1"/>
  <c r="F368" i="1"/>
  <c r="E368" i="1"/>
  <c r="J367" i="1"/>
  <c r="B367" i="1" s="1"/>
  <c r="F367" i="1"/>
  <c r="E367" i="1" s="1"/>
  <c r="C367" i="1"/>
  <c r="A367" i="1"/>
  <c r="C366" i="1"/>
  <c r="F366" i="1"/>
  <c r="E366" i="1" s="1"/>
  <c r="C365" i="1"/>
  <c r="J365" i="1"/>
  <c r="B365" i="1" s="1"/>
  <c r="F365" i="1"/>
  <c r="E365" i="1"/>
  <c r="A365" i="1"/>
  <c r="C364" i="1"/>
  <c r="C363" i="1"/>
  <c r="J363" i="1"/>
  <c r="F363" i="1"/>
  <c r="E363" i="1" s="1"/>
  <c r="B363" i="1"/>
  <c r="C362" i="1"/>
  <c r="J362" i="1"/>
  <c r="B362" i="1" s="1"/>
  <c r="F362" i="1"/>
  <c r="E362" i="1"/>
  <c r="A362" i="1"/>
  <c r="A361" i="1"/>
  <c r="C360" i="1"/>
  <c r="J360" i="1"/>
  <c r="F360" i="1"/>
  <c r="E360" i="1" s="1"/>
  <c r="J359" i="1"/>
  <c r="B359" i="1" s="1"/>
  <c r="F359" i="1"/>
  <c r="E359" i="1"/>
  <c r="C359" i="1"/>
  <c r="A359" i="1"/>
  <c r="C358" i="1"/>
  <c r="F358" i="1"/>
  <c r="E358" i="1" s="1"/>
  <c r="C357" i="1"/>
  <c r="J357" i="1"/>
  <c r="B357" i="1" s="1"/>
  <c r="F357" i="1"/>
  <c r="E357" i="1" s="1"/>
  <c r="A357" i="1"/>
  <c r="C356" i="1"/>
  <c r="C355" i="1"/>
  <c r="J355" i="1"/>
  <c r="F355" i="1"/>
  <c r="E355" i="1" s="1"/>
  <c r="B355" i="1"/>
  <c r="C354" i="1"/>
  <c r="J354" i="1"/>
  <c r="B354" i="1" s="1"/>
  <c r="F354" i="1"/>
  <c r="E354" i="1" s="1"/>
  <c r="A354" i="1"/>
  <c r="A353" i="1"/>
  <c r="C352" i="1"/>
  <c r="J352" i="1"/>
  <c r="F352" i="1"/>
  <c r="E352" i="1"/>
  <c r="J351" i="1"/>
  <c r="B351" i="1" s="1"/>
  <c r="F351" i="1"/>
  <c r="E351" i="1" s="1"/>
  <c r="C351" i="1"/>
  <c r="A351" i="1"/>
  <c r="C350" i="1"/>
  <c r="F350" i="1"/>
  <c r="E350" i="1" s="1"/>
  <c r="C349" i="1"/>
  <c r="J349" i="1"/>
  <c r="B349" i="1" s="1"/>
  <c r="F349" i="1"/>
  <c r="E349" i="1" s="1"/>
  <c r="A349" i="1"/>
  <c r="C348" i="1"/>
  <c r="C347" i="1"/>
  <c r="J347" i="1"/>
  <c r="C346" i="1"/>
  <c r="J346" i="1"/>
  <c r="B346" i="1" s="1"/>
  <c r="F346" i="1"/>
  <c r="E346" i="1"/>
  <c r="A346" i="1"/>
  <c r="A345" i="1"/>
  <c r="C344" i="1"/>
  <c r="J344" i="1"/>
  <c r="F344" i="1"/>
  <c r="E344" i="1" s="1"/>
  <c r="J343" i="1"/>
  <c r="B343" i="1" s="1"/>
  <c r="F343" i="1"/>
  <c r="E343" i="1"/>
  <c r="C343" i="1"/>
  <c r="A343" i="1"/>
  <c r="A342" i="1"/>
  <c r="F342" i="1"/>
  <c r="E342" i="1" s="1"/>
  <c r="C342" i="1"/>
  <c r="C341" i="1"/>
  <c r="J341" i="1"/>
  <c r="F341" i="1"/>
  <c r="E341" i="1"/>
  <c r="B341" i="1"/>
  <c r="A341" i="1"/>
  <c r="C340" i="1"/>
  <c r="C339" i="1"/>
  <c r="J339" i="1"/>
  <c r="B339" i="1"/>
  <c r="C338" i="1"/>
  <c r="J338" i="1"/>
  <c r="B338" i="1" s="1"/>
  <c r="F338" i="1"/>
  <c r="E338" i="1"/>
  <c r="A338" i="1"/>
  <c r="A337" i="1"/>
  <c r="C336" i="1"/>
  <c r="J336" i="1"/>
  <c r="F336" i="1"/>
  <c r="E336" i="1"/>
  <c r="J335" i="1"/>
  <c r="B335" i="1" s="1"/>
  <c r="F335" i="1"/>
  <c r="E335" i="1" s="1"/>
  <c r="C335" i="1"/>
  <c r="A335" i="1"/>
  <c r="A334" i="1"/>
  <c r="F334" i="1"/>
  <c r="E334" i="1" s="1"/>
  <c r="C334" i="1"/>
  <c r="C333" i="1"/>
  <c r="J333" i="1"/>
  <c r="F333" i="1"/>
  <c r="E333" i="1" s="1"/>
  <c r="A333" i="1"/>
  <c r="C332" i="1"/>
  <c r="C331" i="1"/>
  <c r="J331" i="1"/>
  <c r="B331" i="1"/>
  <c r="C330" i="1"/>
  <c r="J330" i="1"/>
  <c r="B330" i="1" s="1"/>
  <c r="F330" i="1"/>
  <c r="E330" i="1" s="1"/>
  <c r="A330" i="1"/>
  <c r="A329" i="1"/>
  <c r="C328" i="1"/>
  <c r="J328" i="1"/>
  <c r="F328" i="1"/>
  <c r="E328" i="1"/>
  <c r="J327" i="1"/>
  <c r="B327" i="1" s="1"/>
  <c r="F327" i="1"/>
  <c r="E327" i="1" s="1"/>
  <c r="C327" i="1"/>
  <c r="A327" i="1"/>
  <c r="A326" i="1"/>
  <c r="F326" i="1"/>
  <c r="E326" i="1" s="1"/>
  <c r="C326" i="1"/>
  <c r="C325" i="1"/>
  <c r="J325" i="1"/>
  <c r="F325" i="1"/>
  <c r="E325" i="1"/>
  <c r="A325" i="1"/>
  <c r="C324" i="1"/>
  <c r="C323" i="1"/>
  <c r="J323" i="1"/>
  <c r="B323" i="1"/>
  <c r="C322" i="1"/>
  <c r="J322" i="1"/>
  <c r="B322" i="1" s="1"/>
  <c r="F322" i="1"/>
  <c r="E322" i="1"/>
  <c r="A322" i="1"/>
  <c r="A321" i="1"/>
  <c r="C320" i="1"/>
  <c r="J320" i="1"/>
  <c r="F320" i="1"/>
  <c r="E320" i="1"/>
  <c r="J319" i="1"/>
  <c r="B319" i="1" s="1"/>
  <c r="F319" i="1"/>
  <c r="E319" i="1" s="1"/>
  <c r="C319" i="1"/>
  <c r="A319" i="1"/>
  <c r="A318" i="1"/>
  <c r="F318" i="1"/>
  <c r="E318" i="1" s="1"/>
  <c r="C318" i="1"/>
  <c r="C317" i="1"/>
  <c r="J317" i="1"/>
  <c r="F317" i="1"/>
  <c r="E317" i="1"/>
  <c r="A317" i="1"/>
  <c r="C316" i="1"/>
  <c r="C315" i="1"/>
  <c r="J315" i="1"/>
  <c r="C314" i="1"/>
  <c r="J314" i="1"/>
  <c r="B314" i="1" s="1"/>
  <c r="F314" i="1"/>
  <c r="E314" i="1"/>
  <c r="A314" i="1"/>
  <c r="A313" i="1"/>
  <c r="C312" i="1"/>
  <c r="J312" i="1"/>
  <c r="F312" i="1"/>
  <c r="E312" i="1" s="1"/>
  <c r="J311" i="1"/>
  <c r="B311" i="1" s="1"/>
  <c r="F311" i="1"/>
  <c r="E311" i="1"/>
  <c r="C311" i="1"/>
  <c r="A311" i="1"/>
  <c r="A310" i="1"/>
  <c r="F310" i="1"/>
  <c r="E310" i="1" s="1"/>
  <c r="C310" i="1"/>
  <c r="C309" i="1"/>
  <c r="J309" i="1"/>
  <c r="F309" i="1"/>
  <c r="E309" i="1"/>
  <c r="B309" i="1"/>
  <c r="A309" i="1"/>
  <c r="C308" i="1"/>
  <c r="C307" i="1"/>
  <c r="J307" i="1"/>
  <c r="B307" i="1"/>
  <c r="C306" i="1"/>
  <c r="J306" i="1"/>
  <c r="B306" i="1" s="1"/>
  <c r="F306" i="1"/>
  <c r="E306" i="1"/>
  <c r="A306" i="1"/>
  <c r="A305" i="1"/>
  <c r="C304" i="1"/>
  <c r="J304" i="1"/>
  <c r="F304" i="1"/>
  <c r="E304" i="1"/>
  <c r="J303" i="1"/>
  <c r="B303" i="1" s="1"/>
  <c r="F303" i="1"/>
  <c r="E303" i="1" s="1"/>
  <c r="C303" i="1"/>
  <c r="A303" i="1"/>
  <c r="A302" i="1"/>
  <c r="F302" i="1"/>
  <c r="E302" i="1" s="1"/>
  <c r="C302" i="1"/>
  <c r="C301" i="1"/>
  <c r="J301" i="1"/>
  <c r="F301" i="1"/>
  <c r="E301" i="1" s="1"/>
  <c r="A301" i="1"/>
  <c r="C300" i="1"/>
  <c r="C299" i="1"/>
  <c r="J299" i="1"/>
  <c r="B299" i="1"/>
  <c r="C298" i="1"/>
  <c r="J298" i="1"/>
  <c r="B298" i="1" s="1"/>
  <c r="F298" i="1"/>
  <c r="E298" i="1" s="1"/>
  <c r="A298" i="1"/>
  <c r="A297" i="1"/>
  <c r="C296" i="1"/>
  <c r="J296" i="1"/>
  <c r="F296" i="1"/>
  <c r="E296" i="1"/>
  <c r="J295" i="1"/>
  <c r="B295" i="1" s="1"/>
  <c r="F295" i="1"/>
  <c r="E295" i="1" s="1"/>
  <c r="C295" i="1"/>
  <c r="A295" i="1"/>
  <c r="A294" i="1"/>
  <c r="F294" i="1"/>
  <c r="E294" i="1" s="1"/>
  <c r="C294" i="1"/>
  <c r="C293" i="1"/>
  <c r="J293" i="1"/>
  <c r="F293" i="1"/>
  <c r="E293" i="1"/>
  <c r="A293" i="1"/>
  <c r="C292" i="1"/>
  <c r="C291" i="1"/>
  <c r="J291" i="1"/>
  <c r="B291" i="1"/>
  <c r="C290" i="1"/>
  <c r="J290" i="1"/>
  <c r="B290" i="1" s="1"/>
  <c r="F290" i="1"/>
  <c r="E290" i="1"/>
  <c r="A290" i="1"/>
  <c r="A289" i="1"/>
  <c r="C288" i="1"/>
  <c r="J288" i="1"/>
  <c r="F288" i="1"/>
  <c r="E288" i="1"/>
  <c r="J287" i="1"/>
  <c r="B287" i="1" s="1"/>
  <c r="F287" i="1"/>
  <c r="E287" i="1" s="1"/>
  <c r="C287" i="1"/>
  <c r="A287" i="1"/>
  <c r="A286" i="1"/>
  <c r="F286" i="1"/>
  <c r="E286" i="1" s="1"/>
  <c r="C286" i="1"/>
  <c r="C285" i="1"/>
  <c r="J285" i="1"/>
  <c r="F285" i="1"/>
  <c r="E285" i="1"/>
  <c r="A285" i="1"/>
  <c r="C284" i="1"/>
  <c r="C283" i="1"/>
  <c r="J283" i="1"/>
  <c r="C282" i="1"/>
  <c r="J282" i="1"/>
  <c r="B282" i="1" s="1"/>
  <c r="F282" i="1"/>
  <c r="E282" i="1"/>
  <c r="A282" i="1"/>
  <c r="A281" i="1"/>
  <c r="C280" i="1"/>
  <c r="J280" i="1"/>
  <c r="F280" i="1"/>
  <c r="E280" i="1" s="1"/>
  <c r="J279" i="1"/>
  <c r="B279" i="1" s="1"/>
  <c r="F279" i="1"/>
  <c r="E279" i="1"/>
  <c r="C279" i="1"/>
  <c r="A279" i="1"/>
  <c r="A278" i="1"/>
  <c r="F278" i="1"/>
  <c r="E278" i="1" s="1"/>
  <c r="C278" i="1"/>
  <c r="C277" i="1"/>
  <c r="J277" i="1"/>
  <c r="F277" i="1"/>
  <c r="E277" i="1"/>
  <c r="B277" i="1"/>
  <c r="A277" i="1"/>
  <c r="C276" i="1"/>
  <c r="C275" i="1"/>
  <c r="J275" i="1"/>
  <c r="B275" i="1"/>
  <c r="C274" i="1"/>
  <c r="J274" i="1"/>
  <c r="B274" i="1" s="1"/>
  <c r="F274" i="1"/>
  <c r="E274" i="1"/>
  <c r="A274" i="1"/>
  <c r="A272" i="1"/>
  <c r="J272" i="1"/>
  <c r="F272" i="1"/>
  <c r="E272" i="1" s="1"/>
  <c r="C272" i="1"/>
  <c r="J271" i="1"/>
  <c r="B271" i="1" s="1"/>
  <c r="F271" i="1"/>
  <c r="E271" i="1" s="1"/>
  <c r="C271" i="1"/>
  <c r="A271" i="1"/>
  <c r="A270" i="1"/>
  <c r="F270" i="1"/>
  <c r="E270" i="1" s="1"/>
  <c r="C270" i="1"/>
  <c r="F269" i="1"/>
  <c r="E269" i="1" s="1"/>
  <c r="J269" i="1"/>
  <c r="A269" i="1"/>
  <c r="C268" i="1"/>
  <c r="J267" i="1"/>
  <c r="C266" i="1"/>
  <c r="J266" i="1"/>
  <c r="B266" i="1" s="1"/>
  <c r="F266" i="1"/>
  <c r="E266" i="1" s="1"/>
  <c r="A266" i="1"/>
  <c r="F265" i="1"/>
  <c r="E265" i="1" s="1"/>
  <c r="A264" i="1"/>
  <c r="J264" i="1"/>
  <c r="F264" i="1"/>
  <c r="E264" i="1" s="1"/>
  <c r="C264" i="1"/>
  <c r="J263" i="1"/>
  <c r="F263" i="1"/>
  <c r="E263" i="1"/>
  <c r="C263" i="1"/>
  <c r="B263" i="1"/>
  <c r="A263" i="1"/>
  <c r="A262" i="1"/>
  <c r="F262" i="1"/>
  <c r="E262" i="1" s="1"/>
  <c r="C262" i="1"/>
  <c r="F261" i="1"/>
  <c r="E261" i="1" s="1"/>
  <c r="J261" i="1"/>
  <c r="A261" i="1"/>
  <c r="C260" i="1"/>
  <c r="A260" i="1"/>
  <c r="J259" i="1"/>
  <c r="C258" i="1"/>
  <c r="J258" i="1"/>
  <c r="B258" i="1" s="1"/>
  <c r="F258" i="1"/>
  <c r="E258" i="1" s="1"/>
  <c r="A258" i="1"/>
  <c r="F257" i="1"/>
  <c r="E257" i="1" s="1"/>
  <c r="A256" i="1"/>
  <c r="J256" i="1"/>
  <c r="F256" i="1"/>
  <c r="E256" i="1" s="1"/>
  <c r="C256" i="1"/>
  <c r="J255" i="1"/>
  <c r="F255" i="1"/>
  <c r="E255" i="1" s="1"/>
  <c r="C255" i="1"/>
  <c r="B255" i="1"/>
  <c r="A255" i="1"/>
  <c r="J254" i="1"/>
  <c r="F254" i="1"/>
  <c r="E254" i="1" s="1"/>
  <c r="C253" i="1"/>
  <c r="J253" i="1"/>
  <c r="A253" i="1"/>
  <c r="J252" i="1"/>
  <c r="C252" i="1"/>
  <c r="J251" i="1"/>
  <c r="B251" i="1" s="1"/>
  <c r="F251" i="1"/>
  <c r="E251" i="1" s="1"/>
  <c r="C251" i="1"/>
  <c r="A251" i="1"/>
  <c r="C250" i="1"/>
  <c r="J250" i="1"/>
  <c r="F250" i="1"/>
  <c r="E250" i="1" s="1"/>
  <c r="A250" i="1"/>
  <c r="J249" i="1"/>
  <c r="F249" i="1"/>
  <c r="E249" i="1" s="1"/>
  <c r="C249" i="1"/>
  <c r="A249" i="1"/>
  <c r="A248" i="1"/>
  <c r="C248" i="1"/>
  <c r="J247" i="1"/>
  <c r="B247" i="1" s="1"/>
  <c r="F247" i="1"/>
  <c r="E247" i="1" s="1"/>
  <c r="C247" i="1"/>
  <c r="A247" i="1"/>
  <c r="J246" i="1"/>
  <c r="J245" i="1"/>
  <c r="F245" i="1"/>
  <c r="E245" i="1" s="1"/>
  <c r="C245" i="1"/>
  <c r="A245" i="1"/>
  <c r="F244" i="1"/>
  <c r="E244" i="1" s="1"/>
  <c r="J244" i="1"/>
  <c r="C244" i="1"/>
  <c r="C243" i="1"/>
  <c r="J243" i="1"/>
  <c r="B243" i="1" s="1"/>
  <c r="F243" i="1"/>
  <c r="E243" i="1" s="1"/>
  <c r="A243" i="1"/>
  <c r="C242" i="1"/>
  <c r="F242" i="1"/>
  <c r="E242" i="1" s="1"/>
  <c r="J241" i="1"/>
  <c r="F241" i="1"/>
  <c r="E241" i="1" s="1"/>
  <c r="C241" i="1"/>
  <c r="A241" i="1"/>
  <c r="A240" i="1"/>
  <c r="J240" i="1"/>
  <c r="F240" i="1"/>
  <c r="E240" i="1"/>
  <c r="J239" i="1"/>
  <c r="F239" i="1"/>
  <c r="E239" i="1" s="1"/>
  <c r="C239" i="1"/>
  <c r="B239" i="1"/>
  <c r="A239" i="1"/>
  <c r="J238" i="1"/>
  <c r="F238" i="1"/>
  <c r="E238" i="1" s="1"/>
  <c r="C238" i="1"/>
  <c r="A238" i="1"/>
  <c r="F237" i="1"/>
  <c r="E237" i="1" s="1"/>
  <c r="J237" i="1"/>
  <c r="C237" i="1"/>
  <c r="F236" i="1"/>
  <c r="E236" i="1"/>
  <c r="A236" i="1"/>
  <c r="C235" i="1"/>
  <c r="C234" i="1"/>
  <c r="J234" i="1"/>
  <c r="F234" i="1"/>
  <c r="E234" i="1" s="1"/>
  <c r="A234" i="1"/>
  <c r="F233" i="1"/>
  <c r="E233" i="1" s="1"/>
  <c r="J233" i="1"/>
  <c r="A232" i="1"/>
  <c r="F232" i="1"/>
  <c r="E232" i="1" s="1"/>
  <c r="J231" i="1"/>
  <c r="B231" i="1" s="1"/>
  <c r="F231" i="1"/>
  <c r="E231" i="1" s="1"/>
  <c r="C231" i="1"/>
  <c r="A231" i="1"/>
  <c r="J230" i="1"/>
  <c r="A230" i="1"/>
  <c r="J229" i="1"/>
  <c r="F228" i="1"/>
  <c r="E228" i="1" s="1"/>
  <c r="J228" i="1"/>
  <c r="B228" i="1" s="1"/>
  <c r="C228" i="1"/>
  <c r="A228" i="1"/>
  <c r="B227" i="1"/>
  <c r="J227" i="1"/>
  <c r="F227" i="1"/>
  <c r="E227" i="1" s="1"/>
  <c r="C227" i="1"/>
  <c r="C226" i="1"/>
  <c r="J226" i="1"/>
  <c r="B226" i="1" s="1"/>
  <c r="F226" i="1"/>
  <c r="E226" i="1" s="1"/>
  <c r="A226" i="1"/>
  <c r="J225" i="1"/>
  <c r="A224" i="1"/>
  <c r="J224" i="1"/>
  <c r="F224" i="1"/>
  <c r="E224" i="1"/>
  <c r="C224" i="1"/>
  <c r="B224" i="1"/>
  <c r="F223" i="1"/>
  <c r="E223" i="1" s="1"/>
  <c r="B222" i="1"/>
  <c r="J222" i="1"/>
  <c r="C222" i="1"/>
  <c r="A221" i="1"/>
  <c r="J221" i="1"/>
  <c r="F221" i="1"/>
  <c r="E221" i="1" s="1"/>
  <c r="C221" i="1"/>
  <c r="B221" i="1"/>
  <c r="C220" i="1"/>
  <c r="J220" i="1"/>
  <c r="F220" i="1"/>
  <c r="E220" i="1" s="1"/>
  <c r="A220" i="1"/>
  <c r="A219" i="1"/>
  <c r="F218" i="1"/>
  <c r="E218" i="1" s="1"/>
  <c r="J218" i="1"/>
  <c r="C218" i="1"/>
  <c r="J217" i="1"/>
  <c r="B217" i="1" s="1"/>
  <c r="F217" i="1"/>
  <c r="E217" i="1" s="1"/>
  <c r="C217" i="1"/>
  <c r="A217" i="1"/>
  <c r="C216" i="1"/>
  <c r="F216" i="1"/>
  <c r="E216" i="1" s="1"/>
  <c r="A216" i="1"/>
  <c r="F215" i="1"/>
  <c r="E215" i="1" s="1"/>
  <c r="J214" i="1"/>
  <c r="C214" i="1"/>
  <c r="A213" i="1"/>
  <c r="J213" i="1"/>
  <c r="F213" i="1"/>
  <c r="E213" i="1" s="1"/>
  <c r="C213" i="1"/>
  <c r="B213" i="1"/>
  <c r="C212" i="1"/>
  <c r="J212" i="1"/>
  <c r="B212" i="1" s="1"/>
  <c r="F212" i="1"/>
  <c r="E212" i="1" s="1"/>
  <c r="A212" i="1"/>
  <c r="A211" i="1"/>
  <c r="F210" i="1"/>
  <c r="E210" i="1" s="1"/>
  <c r="J210" i="1"/>
  <c r="C210" i="1"/>
  <c r="J209" i="1"/>
  <c r="B209" i="1" s="1"/>
  <c r="F209" i="1"/>
  <c r="E209" i="1"/>
  <c r="C209" i="1"/>
  <c r="A209" i="1"/>
  <c r="C208" i="1"/>
  <c r="F208" i="1"/>
  <c r="E208" i="1" s="1"/>
  <c r="A208" i="1"/>
  <c r="F207" i="1"/>
  <c r="E207" i="1" s="1"/>
  <c r="J206" i="1"/>
  <c r="C206" i="1"/>
  <c r="A205" i="1"/>
  <c r="J205" i="1"/>
  <c r="B205" i="1" s="1"/>
  <c r="F205" i="1"/>
  <c r="E205" i="1" s="1"/>
  <c r="C205" i="1"/>
  <c r="C204" i="1"/>
  <c r="J204" i="1"/>
  <c r="F204" i="1"/>
  <c r="E204" i="1" s="1"/>
  <c r="B204" i="1"/>
  <c r="A204" i="1"/>
  <c r="A203" i="1"/>
  <c r="F202" i="1"/>
  <c r="E202" i="1" s="1"/>
  <c r="J202" i="1"/>
  <c r="C202" i="1"/>
  <c r="J201" i="1"/>
  <c r="B201" i="1" s="1"/>
  <c r="F201" i="1"/>
  <c r="E201" i="1"/>
  <c r="C201" i="1"/>
  <c r="A201" i="1"/>
  <c r="C200" i="1"/>
  <c r="F200" i="1"/>
  <c r="E200" i="1" s="1"/>
  <c r="A200" i="1"/>
  <c r="F199" i="1"/>
  <c r="E199" i="1" s="1"/>
  <c r="B198" i="1"/>
  <c r="J198" i="1"/>
  <c r="C198" i="1"/>
  <c r="A197" i="1"/>
  <c r="J197" i="1"/>
  <c r="B197" i="1" s="1"/>
  <c r="F197" i="1"/>
  <c r="E197" i="1" s="1"/>
  <c r="C197" i="1"/>
  <c r="C196" i="1"/>
  <c r="J196" i="1"/>
  <c r="F196" i="1"/>
  <c r="E196" i="1" s="1"/>
  <c r="A196" i="1"/>
  <c r="A195" i="1"/>
  <c r="F194" i="1"/>
  <c r="E194" i="1" s="1"/>
  <c r="J194" i="1"/>
  <c r="C194" i="1"/>
  <c r="J193" i="1"/>
  <c r="F193" i="1"/>
  <c r="E193" i="1" s="1"/>
  <c r="C193" i="1"/>
  <c r="A193" i="1"/>
  <c r="C192" i="1"/>
  <c r="F192" i="1"/>
  <c r="E192" i="1" s="1"/>
  <c r="A192" i="1"/>
  <c r="F191" i="1"/>
  <c r="E191" i="1" s="1"/>
  <c r="B190" i="1"/>
  <c r="J190" i="1"/>
  <c r="C190" i="1"/>
  <c r="A189" i="1"/>
  <c r="J189" i="1"/>
  <c r="F189" i="1"/>
  <c r="E189" i="1" s="1"/>
  <c r="C189" i="1"/>
  <c r="B189" i="1"/>
  <c r="C188" i="1"/>
  <c r="J188" i="1"/>
  <c r="F188" i="1"/>
  <c r="E188" i="1" s="1"/>
  <c r="A188" i="1"/>
  <c r="A187" i="1"/>
  <c r="F186" i="1"/>
  <c r="E186" i="1" s="1"/>
  <c r="J186" i="1"/>
  <c r="C186" i="1"/>
  <c r="J185" i="1"/>
  <c r="B185" i="1" s="1"/>
  <c r="F185" i="1"/>
  <c r="E185" i="1" s="1"/>
  <c r="C185" i="1"/>
  <c r="A185" i="1"/>
  <c r="C184" i="1"/>
  <c r="F184" i="1"/>
  <c r="E184" i="1" s="1"/>
  <c r="A184" i="1"/>
  <c r="F183" i="1"/>
  <c r="E183" i="1" s="1"/>
  <c r="J182" i="1"/>
  <c r="C182" i="1"/>
  <c r="A181" i="1"/>
  <c r="J181" i="1"/>
  <c r="F181" i="1"/>
  <c r="E181" i="1" s="1"/>
  <c r="C181" i="1"/>
  <c r="B181" i="1"/>
  <c r="C180" i="1"/>
  <c r="J180" i="1"/>
  <c r="B180" i="1" s="1"/>
  <c r="F180" i="1"/>
  <c r="E180" i="1" s="1"/>
  <c r="A180" i="1"/>
  <c r="A179" i="1"/>
  <c r="F178" i="1"/>
  <c r="E178" i="1" s="1"/>
  <c r="J178" i="1"/>
  <c r="C178" i="1"/>
  <c r="J177" i="1"/>
  <c r="B177" i="1" s="1"/>
  <c r="F177" i="1"/>
  <c r="E177" i="1"/>
  <c r="C177" i="1"/>
  <c r="A177" i="1"/>
  <c r="C176" i="1"/>
  <c r="F176" i="1"/>
  <c r="E176" i="1" s="1"/>
  <c r="A176" i="1"/>
  <c r="F175" i="1"/>
  <c r="E175" i="1" s="1"/>
  <c r="J174" i="1"/>
  <c r="C174" i="1"/>
  <c r="A173" i="1"/>
  <c r="J173" i="1"/>
  <c r="B173" i="1" s="1"/>
  <c r="F173" i="1"/>
  <c r="E173" i="1" s="1"/>
  <c r="C173" i="1"/>
  <c r="C172" i="1"/>
  <c r="J172" i="1"/>
  <c r="F172" i="1"/>
  <c r="E172" i="1" s="1"/>
  <c r="B172" i="1"/>
  <c r="A172" i="1"/>
  <c r="A171" i="1"/>
  <c r="F170" i="1"/>
  <c r="E170" i="1" s="1"/>
  <c r="J170" i="1"/>
  <c r="C170" i="1"/>
  <c r="J169" i="1"/>
  <c r="F169" i="1"/>
  <c r="E169" i="1"/>
  <c r="C169" i="1"/>
  <c r="A169" i="1"/>
  <c r="C168" i="1"/>
  <c r="F168" i="1"/>
  <c r="E168" i="1" s="1"/>
  <c r="A168" i="1"/>
  <c r="F167" i="1"/>
  <c r="E167" i="1" s="1"/>
  <c r="B166" i="1"/>
  <c r="J166" i="1"/>
  <c r="C166" i="1"/>
  <c r="A165" i="1"/>
  <c r="J165" i="1"/>
  <c r="B165" i="1" s="1"/>
  <c r="F165" i="1"/>
  <c r="E165" i="1" s="1"/>
  <c r="C165" i="1"/>
  <c r="C164" i="1"/>
  <c r="J164" i="1"/>
  <c r="F164" i="1"/>
  <c r="E164" i="1" s="1"/>
  <c r="A164" i="1"/>
  <c r="F162" i="1"/>
  <c r="E162" i="1" s="1"/>
  <c r="J162" i="1"/>
  <c r="C162" i="1"/>
  <c r="J161" i="1"/>
  <c r="B161" i="1" s="1"/>
  <c r="F161" i="1"/>
  <c r="E161" i="1"/>
  <c r="C161" i="1"/>
  <c r="A161" i="1"/>
  <c r="C160" i="1"/>
  <c r="F160" i="1"/>
  <c r="E160" i="1" s="1"/>
  <c r="A160" i="1"/>
  <c r="J158" i="1"/>
  <c r="C158" i="1"/>
  <c r="A157" i="1"/>
  <c r="J157" i="1"/>
  <c r="F157" i="1"/>
  <c r="E157" i="1" s="1"/>
  <c r="C157" i="1"/>
  <c r="C156" i="1"/>
  <c r="J156" i="1"/>
  <c r="F156" i="1"/>
  <c r="E156" i="1" s="1"/>
  <c r="B156" i="1"/>
  <c r="A156" i="1"/>
  <c r="F154" i="1"/>
  <c r="E154" i="1" s="1"/>
  <c r="J154" i="1"/>
  <c r="C154" i="1"/>
  <c r="J153" i="1"/>
  <c r="F153" i="1"/>
  <c r="E153" i="1"/>
  <c r="C153" i="1"/>
  <c r="B153" i="1"/>
  <c r="A153" i="1"/>
  <c r="C152" i="1"/>
  <c r="F152" i="1"/>
  <c r="E152" i="1" s="1"/>
  <c r="A152" i="1"/>
  <c r="J150" i="1"/>
  <c r="C150" i="1"/>
  <c r="A149" i="1"/>
  <c r="J149" i="1"/>
  <c r="F149" i="1"/>
  <c r="E149" i="1" s="1"/>
  <c r="C149" i="1"/>
  <c r="B149" i="1"/>
  <c r="C148" i="1"/>
  <c r="J148" i="1"/>
  <c r="B148" i="1" s="1"/>
  <c r="F148" i="1"/>
  <c r="E148" i="1" s="1"/>
  <c r="A148" i="1"/>
  <c r="F146" i="1"/>
  <c r="E146" i="1" s="1"/>
  <c r="J146" i="1"/>
  <c r="C146" i="1"/>
  <c r="J145" i="1"/>
  <c r="B145" i="1" s="1"/>
  <c r="F145" i="1"/>
  <c r="E145" i="1" s="1"/>
  <c r="C145" i="1"/>
  <c r="A145" i="1"/>
  <c r="C144" i="1"/>
  <c r="F144" i="1"/>
  <c r="E144" i="1" s="1"/>
  <c r="A144" i="1"/>
  <c r="J142" i="1"/>
  <c r="C142" i="1"/>
  <c r="A141" i="1"/>
  <c r="J141" i="1"/>
  <c r="B141" i="1" s="1"/>
  <c r="F141" i="1"/>
  <c r="E141" i="1" s="1"/>
  <c r="C141" i="1"/>
  <c r="C140" i="1"/>
  <c r="J140" i="1"/>
  <c r="F140" i="1"/>
  <c r="E140" i="1" s="1"/>
  <c r="B140" i="1"/>
  <c r="A140" i="1"/>
  <c r="F138" i="1"/>
  <c r="E138" i="1" s="1"/>
  <c r="J138" i="1"/>
  <c r="C138" i="1"/>
  <c r="J137" i="1"/>
  <c r="F137" i="1"/>
  <c r="E137" i="1" s="1"/>
  <c r="C137" i="1"/>
  <c r="B137" i="1"/>
  <c r="A137" i="1"/>
  <c r="C136" i="1"/>
  <c r="F136" i="1"/>
  <c r="E136" i="1" s="1"/>
  <c r="A136" i="1"/>
  <c r="J134" i="1"/>
  <c r="C134" i="1"/>
  <c r="A133" i="1"/>
  <c r="J133" i="1"/>
  <c r="F133" i="1"/>
  <c r="E133" i="1" s="1"/>
  <c r="C133" i="1"/>
  <c r="C132" i="1"/>
  <c r="J132" i="1"/>
  <c r="B132" i="1" s="1"/>
  <c r="F132" i="1"/>
  <c r="E132" i="1" s="1"/>
  <c r="A132" i="1"/>
  <c r="F130" i="1"/>
  <c r="E130" i="1" s="1"/>
  <c r="J130" i="1"/>
  <c r="C130" i="1"/>
  <c r="J129" i="1"/>
  <c r="F129" i="1"/>
  <c r="E129" i="1" s="1"/>
  <c r="C129" i="1"/>
  <c r="B129" i="1"/>
  <c r="A129" i="1"/>
  <c r="C128" i="1"/>
  <c r="F128" i="1"/>
  <c r="E128" i="1" s="1"/>
  <c r="A128" i="1"/>
  <c r="B126" i="1"/>
  <c r="J126" i="1"/>
  <c r="C126" i="1"/>
  <c r="A125" i="1"/>
  <c r="J125" i="1"/>
  <c r="F125" i="1"/>
  <c r="E125" i="1" s="1"/>
  <c r="C125" i="1"/>
  <c r="C124" i="1"/>
  <c r="J124" i="1"/>
  <c r="F124" i="1"/>
  <c r="E124" i="1" s="1"/>
  <c r="B124" i="1"/>
  <c r="A124" i="1"/>
  <c r="F123" i="1"/>
  <c r="E123" i="1" s="1"/>
  <c r="A123" i="1"/>
  <c r="C122" i="1"/>
  <c r="J122" i="1"/>
  <c r="J121" i="1"/>
  <c r="F121" i="1"/>
  <c r="E121" i="1" s="1"/>
  <c r="C121" i="1"/>
  <c r="B121" i="1"/>
  <c r="A121" i="1"/>
  <c r="C120" i="1"/>
  <c r="F120" i="1"/>
  <c r="E120" i="1" s="1"/>
  <c r="A120" i="1"/>
  <c r="F119" i="1"/>
  <c r="E119" i="1" s="1"/>
  <c r="A119" i="1"/>
  <c r="J118" i="1"/>
  <c r="A117" i="1"/>
  <c r="J117" i="1"/>
  <c r="B117" i="1" s="1"/>
  <c r="F117" i="1"/>
  <c r="E117" i="1" s="1"/>
  <c r="C117" i="1"/>
  <c r="C116" i="1"/>
  <c r="J116" i="1"/>
  <c r="F116" i="1"/>
  <c r="E116" i="1" s="1"/>
  <c r="B116" i="1"/>
  <c r="A116" i="1"/>
  <c r="F115" i="1"/>
  <c r="E115" i="1" s="1"/>
  <c r="C115" i="1"/>
  <c r="A114" i="1"/>
  <c r="F114" i="1"/>
  <c r="E114" i="1" s="1"/>
  <c r="C114" i="1"/>
  <c r="J113" i="1"/>
  <c r="B113" i="1" s="1"/>
  <c r="F113" i="1"/>
  <c r="E113" i="1" s="1"/>
  <c r="C113" i="1"/>
  <c r="A113" i="1"/>
  <c r="J112" i="1"/>
  <c r="F112" i="1"/>
  <c r="E112" i="1" s="1"/>
  <c r="A112" i="1"/>
  <c r="J111" i="1"/>
  <c r="C111" i="1"/>
  <c r="F110" i="1"/>
  <c r="E110" i="1" s="1"/>
  <c r="J110" i="1"/>
  <c r="C110" i="1"/>
  <c r="B110" i="1"/>
  <c r="A110" i="1"/>
  <c r="F109" i="1"/>
  <c r="E109" i="1" s="1"/>
  <c r="C108" i="1"/>
  <c r="J108" i="1"/>
  <c r="A108" i="1"/>
  <c r="J107" i="1"/>
  <c r="F107" i="1"/>
  <c r="E107" i="1" s="1"/>
  <c r="F106" i="1"/>
  <c r="E106" i="1" s="1"/>
  <c r="J106" i="1"/>
  <c r="C106" i="1"/>
  <c r="B106" i="1"/>
  <c r="A106" i="1"/>
  <c r="J105" i="1"/>
  <c r="F105" i="1"/>
  <c r="E105" i="1" s="1"/>
  <c r="C105" i="1"/>
  <c r="A105" i="1"/>
  <c r="F104" i="1"/>
  <c r="E104" i="1" s="1"/>
  <c r="A104" i="1"/>
  <c r="C103" i="1"/>
  <c r="C102" i="1"/>
  <c r="J102" i="1"/>
  <c r="B102" i="1" s="1"/>
  <c r="J101" i="1"/>
  <c r="B101" i="1" s="1"/>
  <c r="F101" i="1"/>
  <c r="E101" i="1" s="1"/>
  <c r="C101" i="1"/>
  <c r="A101" i="1"/>
  <c r="A100" i="1"/>
  <c r="F100" i="1"/>
  <c r="E100" i="1" s="1"/>
  <c r="J99" i="1"/>
  <c r="F99" i="1"/>
  <c r="E99" i="1" s="1"/>
  <c r="C99" i="1"/>
  <c r="F98" i="1"/>
  <c r="E98" i="1" s="1"/>
  <c r="J98" i="1"/>
  <c r="B98" i="1" s="1"/>
  <c r="C98" i="1"/>
  <c r="A98" i="1"/>
  <c r="J97" i="1"/>
  <c r="F97" i="1"/>
  <c r="E97" i="1" s="1"/>
  <c r="C97" i="1"/>
  <c r="A97" i="1"/>
  <c r="F96" i="1"/>
  <c r="E96" i="1" s="1"/>
  <c r="A96" i="1"/>
  <c r="C95" i="1"/>
  <c r="C94" i="1"/>
  <c r="J94" i="1"/>
  <c r="B94" i="1" s="1"/>
  <c r="J93" i="1"/>
  <c r="B93" i="1" s="1"/>
  <c r="F93" i="1"/>
  <c r="E93" i="1" s="1"/>
  <c r="C93" i="1"/>
  <c r="A93" i="1"/>
  <c r="A92" i="1"/>
  <c r="F92" i="1"/>
  <c r="E92" i="1" s="1"/>
  <c r="J91" i="1"/>
  <c r="F91" i="1"/>
  <c r="E91" i="1" s="1"/>
  <c r="C91" i="1"/>
  <c r="F90" i="1"/>
  <c r="E90" i="1" s="1"/>
  <c r="J90" i="1"/>
  <c r="C90" i="1"/>
  <c r="B90" i="1"/>
  <c r="A90" i="1"/>
  <c r="J89" i="1"/>
  <c r="F89" i="1"/>
  <c r="E89" i="1" s="1"/>
  <c r="C89" i="1"/>
  <c r="A89" i="1"/>
  <c r="F88" i="1"/>
  <c r="E88" i="1" s="1"/>
  <c r="A88" i="1"/>
  <c r="C87" i="1"/>
  <c r="C86" i="1"/>
  <c r="J86" i="1"/>
  <c r="B86" i="1" s="1"/>
  <c r="J85" i="1"/>
  <c r="B85" i="1" s="1"/>
  <c r="F85" i="1"/>
  <c r="E85" i="1" s="1"/>
  <c r="C85" i="1"/>
  <c r="A85" i="1"/>
  <c r="A84" i="1"/>
  <c r="F84" i="1"/>
  <c r="E84" i="1" s="1"/>
  <c r="J83" i="1"/>
  <c r="F83" i="1"/>
  <c r="E83" i="1"/>
  <c r="C83" i="1"/>
  <c r="F82" i="1"/>
  <c r="E82" i="1" s="1"/>
  <c r="J82" i="1"/>
  <c r="B82" i="1" s="1"/>
  <c r="C82" i="1"/>
  <c r="A82" i="1"/>
  <c r="J81" i="1"/>
  <c r="F81" i="1"/>
  <c r="E81" i="1" s="1"/>
  <c r="C81" i="1"/>
  <c r="A81" i="1"/>
  <c r="F80" i="1"/>
  <c r="E80" i="1" s="1"/>
  <c r="A80" i="1"/>
  <c r="C79" i="1"/>
  <c r="C78" i="1"/>
  <c r="J78" i="1"/>
  <c r="B78" i="1" s="1"/>
  <c r="J77" i="1"/>
  <c r="B77" i="1" s="1"/>
  <c r="F77" i="1"/>
  <c r="E77" i="1" s="1"/>
  <c r="C77" i="1"/>
  <c r="A77" i="1"/>
  <c r="A76" i="1"/>
  <c r="F76" i="1"/>
  <c r="E76" i="1" s="1"/>
  <c r="B75" i="1"/>
  <c r="J75" i="1"/>
  <c r="F75" i="1"/>
  <c r="E75" i="1"/>
  <c r="C75" i="1"/>
  <c r="F74" i="1"/>
  <c r="E74" i="1" s="1"/>
  <c r="J74" i="1"/>
  <c r="C74" i="1"/>
  <c r="B74" i="1"/>
  <c r="A74" i="1"/>
  <c r="J73" i="1"/>
  <c r="F73" i="1"/>
  <c r="E73" i="1" s="1"/>
  <c r="C73" i="1"/>
  <c r="A73" i="1"/>
  <c r="F72" i="1"/>
  <c r="E72" i="1" s="1"/>
  <c r="A72" i="1"/>
  <c r="C71" i="1"/>
  <c r="C70" i="1"/>
  <c r="J70" i="1"/>
  <c r="B70" i="1" s="1"/>
  <c r="J69" i="1"/>
  <c r="B69" i="1" s="1"/>
  <c r="F69" i="1"/>
  <c r="E69" i="1" s="1"/>
  <c r="C69" i="1"/>
  <c r="A69" i="1"/>
  <c r="A68" i="1"/>
  <c r="F68" i="1"/>
  <c r="E68" i="1" s="1"/>
  <c r="B67" i="1"/>
  <c r="J67" i="1"/>
  <c r="F67" i="1"/>
  <c r="E67" i="1"/>
  <c r="C67" i="1"/>
  <c r="F66" i="1"/>
  <c r="E66" i="1" s="1"/>
  <c r="J66" i="1"/>
  <c r="C66" i="1"/>
  <c r="B66" i="1"/>
  <c r="A66" i="1"/>
  <c r="J65" i="1"/>
  <c r="F65" i="1"/>
  <c r="E65" i="1" s="1"/>
  <c r="C65" i="1"/>
  <c r="A65" i="1"/>
  <c r="F64" i="1"/>
  <c r="E64" i="1" s="1"/>
  <c r="A64" i="1"/>
  <c r="C63" i="1"/>
  <c r="C62" i="1"/>
  <c r="J62" i="1"/>
  <c r="B62" i="1" s="1"/>
  <c r="J61" i="1"/>
  <c r="B61" i="1" s="1"/>
  <c r="F61" i="1"/>
  <c r="E61" i="1" s="1"/>
  <c r="C61" i="1"/>
  <c r="A61" i="1"/>
  <c r="A60" i="1"/>
  <c r="F60" i="1"/>
  <c r="E60" i="1" s="1"/>
  <c r="B59" i="1"/>
  <c r="J59" i="1"/>
  <c r="F59" i="1"/>
  <c r="E59" i="1" s="1"/>
  <c r="C59" i="1"/>
  <c r="F58" i="1"/>
  <c r="E58" i="1" s="1"/>
  <c r="J58" i="1"/>
  <c r="C58" i="1"/>
  <c r="B58" i="1"/>
  <c r="A58" i="1"/>
  <c r="J57" i="1"/>
  <c r="F57" i="1"/>
  <c r="E57" i="1" s="1"/>
  <c r="C57" i="1"/>
  <c r="A57" i="1"/>
  <c r="F56" i="1"/>
  <c r="E56" i="1" s="1"/>
  <c r="A56" i="1"/>
  <c r="C55" i="1"/>
  <c r="C54" i="1"/>
  <c r="J54" i="1"/>
  <c r="B54" i="1" s="1"/>
  <c r="J53" i="1"/>
  <c r="B53" i="1" s="1"/>
  <c r="F53" i="1"/>
  <c r="E53" i="1" s="1"/>
  <c r="C53" i="1"/>
  <c r="A53" i="1"/>
  <c r="A52" i="1"/>
  <c r="F52" i="1"/>
  <c r="E52" i="1" s="1"/>
  <c r="B51" i="1"/>
  <c r="J51" i="1"/>
  <c r="F51" i="1"/>
  <c r="E51" i="1" s="1"/>
  <c r="C51" i="1"/>
  <c r="F50" i="1"/>
  <c r="E50" i="1" s="1"/>
  <c r="J50" i="1"/>
  <c r="C50" i="1"/>
  <c r="A50" i="1"/>
  <c r="J49" i="1"/>
  <c r="F49" i="1"/>
  <c r="E49" i="1" s="1"/>
  <c r="C49" i="1"/>
  <c r="A49" i="1"/>
  <c r="F48" i="1"/>
  <c r="E48" i="1" s="1"/>
  <c r="A48" i="1"/>
  <c r="C47" i="1"/>
  <c r="C46" i="1"/>
  <c r="J46" i="1"/>
  <c r="B46" i="1" s="1"/>
  <c r="J45" i="1"/>
  <c r="B45" i="1" s="1"/>
  <c r="F45" i="1"/>
  <c r="E45" i="1" s="1"/>
  <c r="C45" i="1"/>
  <c r="A45" i="1"/>
  <c r="A44" i="1"/>
  <c r="F44" i="1"/>
  <c r="E44" i="1" s="1"/>
  <c r="B43" i="1"/>
  <c r="J43" i="1"/>
  <c r="F43" i="1"/>
  <c r="E43" i="1" s="1"/>
  <c r="C43" i="1"/>
  <c r="F42" i="1"/>
  <c r="E42" i="1" s="1"/>
  <c r="J42" i="1"/>
  <c r="C42" i="1"/>
  <c r="B42" i="1"/>
  <c r="A42" i="1"/>
  <c r="J41" i="1"/>
  <c r="F41" i="1"/>
  <c r="E41" i="1" s="1"/>
  <c r="C41" i="1"/>
  <c r="A41" i="1"/>
  <c r="F40" i="1"/>
  <c r="E40" i="1" s="1"/>
  <c r="A40" i="1"/>
  <c r="C39" i="1"/>
  <c r="C38" i="1"/>
  <c r="J38" i="1"/>
  <c r="B38" i="1" s="1"/>
  <c r="J37" i="1"/>
  <c r="B37" i="1" s="1"/>
  <c r="F37" i="1"/>
  <c r="E37" i="1" s="1"/>
  <c r="C37" i="1"/>
  <c r="A37" i="1"/>
  <c r="A36" i="1"/>
  <c r="F36" i="1"/>
  <c r="E36" i="1" s="1"/>
  <c r="J35" i="1"/>
  <c r="F35" i="1"/>
  <c r="E35" i="1"/>
  <c r="C35" i="1"/>
  <c r="F34" i="1"/>
  <c r="E34" i="1" s="1"/>
  <c r="J34" i="1"/>
  <c r="B34" i="1" s="1"/>
  <c r="C34" i="1"/>
  <c r="A34" i="1"/>
  <c r="J33" i="1"/>
  <c r="F33" i="1"/>
  <c r="E33" i="1" s="1"/>
  <c r="C33" i="1"/>
  <c r="A33" i="1"/>
  <c r="F32" i="1"/>
  <c r="E32" i="1" s="1"/>
  <c r="A32" i="1"/>
  <c r="C31" i="1"/>
  <c r="C30" i="1"/>
  <c r="J30" i="1"/>
  <c r="B30" i="1" s="1"/>
  <c r="J29" i="1"/>
  <c r="B29" i="1" s="1"/>
  <c r="F29" i="1"/>
  <c r="E29" i="1" s="1"/>
  <c r="C29" i="1"/>
  <c r="A29" i="1"/>
  <c r="A28" i="1"/>
  <c r="F28" i="1"/>
  <c r="E28" i="1" s="1"/>
  <c r="J27" i="1"/>
  <c r="F27" i="1"/>
  <c r="E27" i="1" s="1"/>
  <c r="C27" i="1"/>
  <c r="F26" i="1"/>
  <c r="E26" i="1" s="1"/>
  <c r="J26" i="1"/>
  <c r="C26" i="1"/>
  <c r="B26" i="1"/>
  <c r="A26" i="1"/>
  <c r="J25" i="1"/>
  <c r="F25" i="1"/>
  <c r="E25" i="1" s="1"/>
  <c r="C25" i="1"/>
  <c r="A25" i="1"/>
  <c r="F24" i="1"/>
  <c r="E24" i="1" s="1"/>
  <c r="A24" i="1"/>
  <c r="C23" i="1"/>
  <c r="C22" i="1"/>
  <c r="J22" i="1"/>
  <c r="B22" i="1" s="1"/>
  <c r="J21" i="1"/>
  <c r="B21" i="1" s="1"/>
  <c r="F21" i="1"/>
  <c r="E21" i="1" s="1"/>
  <c r="C21" i="1"/>
  <c r="A21" i="1"/>
  <c r="A20" i="1"/>
  <c r="F20" i="1"/>
  <c r="E20" i="1" s="1"/>
  <c r="J19" i="1"/>
  <c r="F19" i="1"/>
  <c r="E19" i="1"/>
  <c r="C19" i="1"/>
  <c r="AG13" i="1" a="1"/>
  <c r="AG13" i="1" s="1"/>
  <c r="F18" i="1"/>
  <c r="E18" i="1" s="1"/>
  <c r="J18" i="1"/>
  <c r="B18" i="1" s="1"/>
  <c r="C18" i="1"/>
  <c r="A18" i="1"/>
  <c r="J17" i="1"/>
  <c r="F17" i="1"/>
  <c r="E17" i="1" s="1"/>
  <c r="C17" i="1"/>
  <c r="A17" i="1"/>
  <c r="F16" i="1"/>
  <c r="A16" i="1"/>
  <c r="AI13" i="1" a="1"/>
  <c r="AI13" i="1" s="1"/>
  <c r="AH13" i="1" a="1"/>
  <c r="AH13" i="1" s="1"/>
  <c r="AF13" i="1" a="1"/>
  <c r="AF13" i="1" s="1"/>
  <c r="AE13" i="1" a="1"/>
  <c r="AE13" i="1" s="1"/>
  <c r="AD13" i="1" a="1"/>
  <c r="AD13" i="1" s="1"/>
  <c r="AC13" i="1" a="1"/>
  <c r="AC13" i="1" s="1"/>
  <c r="AB13" i="1" a="1"/>
  <c r="AB13" i="1" s="1"/>
  <c r="AA13" i="1" a="1"/>
  <c r="AA13" i="1" s="1"/>
  <c r="Z13" i="1" a="1"/>
  <c r="Z13" i="1" s="1"/>
  <c r="Y13" i="1" a="1"/>
  <c r="Y13" i="1" s="1"/>
  <c r="X13" i="1" a="1"/>
  <c r="X13" i="1" s="1"/>
  <c r="W13" i="1" a="1"/>
  <c r="W13" i="1" s="1"/>
  <c r="V13" i="1" a="1"/>
  <c r="V13" i="1" s="1"/>
  <c r="U13" i="1" a="1"/>
  <c r="U13" i="1" s="1"/>
  <c r="T13" i="1" a="1"/>
  <c r="T13" i="1" s="1"/>
  <c r="S13" i="1" a="1"/>
  <c r="S13" i="1" s="1"/>
  <c r="R13" i="1" a="1"/>
  <c r="R13" i="1" s="1"/>
  <c r="Q13" i="1" a="1"/>
  <c r="Q13" i="1" s="1"/>
  <c r="P13" i="1" a="1"/>
  <c r="P13" i="1" s="1"/>
  <c r="O13" i="1" a="1"/>
  <c r="O13" i="1" s="1"/>
  <c r="N13" i="1" a="1"/>
  <c r="N13" i="1" s="1"/>
  <c r="M13" i="1" a="1"/>
  <c r="M13" i="1" s="1"/>
  <c r="L13" i="1" a="1"/>
  <c r="L13" i="1" s="1"/>
  <c r="K13" i="1" a="1"/>
  <c r="K13" i="1" s="1"/>
  <c r="H13" i="1" a="1"/>
  <c r="H13" i="1" s="1"/>
  <c r="G13" i="1" a="1"/>
  <c r="G13" i="1" s="1"/>
  <c r="D13" i="1" a="1"/>
  <c r="D13" i="1" s="1"/>
  <c r="AI10" i="1" a="1"/>
  <c r="AI10" i="1" s="1"/>
  <c r="AH10" i="1" a="1"/>
  <c r="AH10" i="1" s="1"/>
  <c r="AG10" i="1" a="1"/>
  <c r="AG10" i="1" s="1"/>
  <c r="AF10" i="1" a="1"/>
  <c r="AF10" i="1" s="1"/>
  <c r="AE10" i="1" a="1"/>
  <c r="AE10" i="1" s="1"/>
  <c r="AD10" i="1" a="1"/>
  <c r="AD10" i="1" s="1"/>
  <c r="AC10" i="1" a="1"/>
  <c r="AC10" i="1" s="1"/>
  <c r="AB10" i="1" a="1"/>
  <c r="AB10" i="1" s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 s="1"/>
  <c r="U10" i="1" a="1"/>
  <c r="U10" i="1" s="1"/>
  <c r="T10" i="1" a="1"/>
  <c r="T10" i="1" s="1"/>
  <c r="S10" i="1" a="1"/>
  <c r="S10" i="1" s="1"/>
  <c r="R10" i="1" a="1"/>
  <c r="R10" i="1" s="1"/>
  <c r="Q10" i="1" a="1"/>
  <c r="Q10" i="1" s="1"/>
  <c r="P10" i="1" a="1"/>
  <c r="P10" i="1" s="1"/>
  <c r="O10" i="1" a="1"/>
  <c r="O10" i="1" s="1"/>
  <c r="N10" i="1" a="1"/>
  <c r="N10" i="1" s="1"/>
  <c r="M10" i="1" a="1"/>
  <c r="M10" i="1" s="1"/>
  <c r="L10" i="1" a="1"/>
  <c r="L10" i="1" s="1"/>
  <c r="D10" i="1"/>
  <c r="AH9" i="1"/>
  <c r="AF9" i="1"/>
  <c r="AD9" i="1"/>
  <c r="AB9" i="1"/>
  <c r="Z9" i="1"/>
  <c r="X9" i="1"/>
  <c r="V9" i="1"/>
  <c r="T9" i="1"/>
  <c r="R9" i="1"/>
  <c r="P9" i="1"/>
  <c r="N9" i="1"/>
  <c r="L9" i="1"/>
  <c r="AG9" i="1"/>
  <c r="AE9" i="1"/>
  <c r="AC9" i="1"/>
  <c r="AA9" i="1"/>
  <c r="Y9" i="1"/>
  <c r="W9" i="1"/>
  <c r="U9" i="1"/>
  <c r="S9" i="1"/>
  <c r="Q9" i="1"/>
  <c r="O9" i="1"/>
  <c r="M9" i="1"/>
  <c r="AG6" i="1"/>
  <c r="AE6" i="1"/>
  <c r="AC6" i="1"/>
  <c r="AA6" i="1"/>
  <c r="Y6" i="1"/>
  <c r="W6" i="1"/>
  <c r="U6" i="1"/>
  <c r="S6" i="1"/>
  <c r="Q6" i="1"/>
  <c r="O6" i="1"/>
  <c r="M6" i="1"/>
  <c r="AH6" i="1"/>
  <c r="AF6" i="1"/>
  <c r="AD6" i="1"/>
  <c r="AB6" i="1"/>
  <c r="Z6" i="1"/>
  <c r="X6" i="1"/>
  <c r="V6" i="1"/>
  <c r="T6" i="1"/>
  <c r="R6" i="1"/>
  <c r="P6" i="1"/>
  <c r="N6" i="1"/>
  <c r="L6" i="1"/>
  <c r="AH3" i="1"/>
  <c r="AG3" i="1"/>
  <c r="AF3" i="1"/>
  <c r="Z3" i="1"/>
  <c r="Y3" i="1"/>
  <c r="X3" i="1"/>
  <c r="R3" i="1"/>
  <c r="Q3" i="1"/>
  <c r="P3" i="1"/>
  <c r="AE3" i="1"/>
  <c r="AD3" i="1"/>
  <c r="AC3" i="1"/>
  <c r="AB3" i="1"/>
  <c r="AA3" i="1"/>
  <c r="W3" i="1"/>
  <c r="V3" i="1"/>
  <c r="U3" i="1"/>
  <c r="T3" i="1"/>
  <c r="S3" i="1"/>
  <c r="O3" i="1"/>
  <c r="N3" i="1"/>
  <c r="M3" i="1"/>
  <c r="L3" i="1"/>
  <c r="B19" i="1" l="1"/>
  <c r="B83" i="1"/>
  <c r="B125" i="1"/>
  <c r="B157" i="1"/>
  <c r="B169" i="1"/>
  <c r="B188" i="1"/>
  <c r="B196" i="1"/>
  <c r="B150" i="1"/>
  <c r="B27" i="1"/>
  <c r="B91" i="1"/>
  <c r="B164" i="1"/>
  <c r="B50" i="1"/>
  <c r="B133" i="1"/>
  <c r="B193" i="1"/>
  <c r="B35" i="1"/>
  <c r="B99" i="1"/>
  <c r="B182" i="1"/>
  <c r="B214" i="1"/>
  <c r="B411" i="1"/>
  <c r="B413" i="1"/>
  <c r="B429" i="1"/>
  <c r="B539" i="1"/>
  <c r="B652" i="1"/>
  <c r="B733" i="1"/>
  <c r="B738" i="1"/>
  <c r="B995" i="1"/>
  <c r="B230" i="1"/>
  <c r="B269" i="1"/>
  <c r="B301" i="1"/>
  <c r="B333" i="1"/>
  <c r="B395" i="1"/>
  <c r="B437" i="1"/>
  <c r="B477" i="1"/>
  <c r="B509" i="1"/>
  <c r="B547" i="1"/>
  <c r="B565" i="1"/>
  <c r="B780" i="1"/>
  <c r="B876" i="1"/>
  <c r="B883" i="1"/>
  <c r="B892" i="1"/>
  <c r="B958" i="1"/>
  <c r="B990" i="1"/>
  <c r="B174" i="1"/>
  <c r="B206" i="1"/>
  <c r="B283" i="1"/>
  <c r="B315" i="1"/>
  <c r="B347" i="1"/>
  <c r="B387" i="1"/>
  <c r="B445" i="1"/>
  <c r="B555" i="1"/>
  <c r="B573" i="1"/>
  <c r="B644" i="1"/>
  <c r="B676" i="1"/>
  <c r="B813" i="1"/>
  <c r="B920" i="1"/>
  <c r="B923" i="1"/>
  <c r="B971" i="1"/>
  <c r="B220" i="1"/>
  <c r="B240" i="1"/>
  <c r="B245" i="1"/>
  <c r="B253" i="1"/>
  <c r="B293" i="1"/>
  <c r="B325" i="1"/>
  <c r="B453" i="1"/>
  <c r="B485" i="1"/>
  <c r="B581" i="1"/>
  <c r="B837" i="1"/>
  <c r="B844" i="1"/>
  <c r="B868" i="1"/>
  <c r="B936" i="1"/>
  <c r="B781" i="1"/>
  <c r="B796" i="1"/>
  <c r="B846" i="1"/>
  <c r="B880" i="1"/>
  <c r="B1003" i="1"/>
  <c r="B256" i="1"/>
  <c r="B285" i="1"/>
  <c r="B317" i="1"/>
  <c r="B379" i="1"/>
  <c r="B461" i="1"/>
  <c r="B493" i="1"/>
  <c r="B525" i="1"/>
  <c r="B579" i="1"/>
  <c r="B597" i="1"/>
  <c r="B616" i="1"/>
  <c r="B632" i="1"/>
  <c r="B664" i="1"/>
  <c r="B709" i="1"/>
  <c r="B717" i="1"/>
  <c r="B725" i="1"/>
  <c r="B789" i="1"/>
  <c r="B821" i="1"/>
  <c r="B856" i="1"/>
  <c r="B931" i="1"/>
  <c r="B533" i="1"/>
  <c r="B595" i="1"/>
  <c r="B604" i="1"/>
  <c r="B628" i="1"/>
  <c r="B656" i="1"/>
  <c r="B928" i="1"/>
  <c r="B25" i="1"/>
  <c r="B41" i="1"/>
  <c r="B57" i="1"/>
  <c r="B73" i="1"/>
  <c r="B89" i="1"/>
  <c r="B105" i="1"/>
  <c r="H3" i="1"/>
  <c r="H4" i="1"/>
  <c r="E16" i="1"/>
  <c r="B17" i="1"/>
  <c r="B33" i="1"/>
  <c r="B49" i="1"/>
  <c r="B65" i="1"/>
  <c r="B81" i="1"/>
  <c r="B97" i="1"/>
  <c r="H2" i="1"/>
  <c r="A19" i="1"/>
  <c r="F23" i="1"/>
  <c r="E23" i="1" s="1"/>
  <c r="A27" i="1"/>
  <c r="F31" i="1"/>
  <c r="E31" i="1" s="1"/>
  <c r="A35" i="1"/>
  <c r="F39" i="1"/>
  <c r="E39" i="1" s="1"/>
  <c r="A43" i="1"/>
  <c r="B44" i="1"/>
  <c r="F47" i="1"/>
  <c r="E47" i="1" s="1"/>
  <c r="A51" i="1"/>
  <c r="F55" i="1"/>
  <c r="E55" i="1" s="1"/>
  <c r="A59" i="1"/>
  <c r="F63" i="1"/>
  <c r="E63" i="1" s="1"/>
  <c r="A67" i="1"/>
  <c r="F71" i="1"/>
  <c r="E71" i="1" s="1"/>
  <c r="A75" i="1"/>
  <c r="F79" i="1"/>
  <c r="E79" i="1" s="1"/>
  <c r="A83" i="1"/>
  <c r="F87" i="1"/>
  <c r="E87" i="1" s="1"/>
  <c r="A91" i="1"/>
  <c r="F95" i="1"/>
  <c r="E95" i="1" s="1"/>
  <c r="A99" i="1"/>
  <c r="F103" i="1"/>
  <c r="E103" i="1" s="1"/>
  <c r="A107" i="1"/>
  <c r="A111" i="1"/>
  <c r="C112" i="1"/>
  <c r="J114" i="1"/>
  <c r="C118" i="1"/>
  <c r="A131" i="1"/>
  <c r="J131" i="1"/>
  <c r="F131" i="1"/>
  <c r="E131" i="1" s="1"/>
  <c r="C131" i="1"/>
  <c r="F159" i="1"/>
  <c r="E159" i="1" s="1"/>
  <c r="C159" i="1"/>
  <c r="A159" i="1"/>
  <c r="J159" i="1"/>
  <c r="J16" i="1"/>
  <c r="B16" i="1" s="1"/>
  <c r="C20" i="1"/>
  <c r="F22" i="1"/>
  <c r="E22" i="1" s="1"/>
  <c r="J24" i="1"/>
  <c r="C28" i="1"/>
  <c r="F30" i="1"/>
  <c r="E30" i="1" s="1"/>
  <c r="J32" i="1"/>
  <c r="C36" i="1"/>
  <c r="F38" i="1"/>
  <c r="E38" i="1" s="1"/>
  <c r="J40" i="1"/>
  <c r="C44" i="1"/>
  <c r="F46" i="1"/>
  <c r="E46" i="1" s="1"/>
  <c r="J48" i="1"/>
  <c r="C52" i="1"/>
  <c r="F54" i="1"/>
  <c r="E54" i="1" s="1"/>
  <c r="J56" i="1"/>
  <c r="C60" i="1"/>
  <c r="F62" i="1"/>
  <c r="E62" i="1" s="1"/>
  <c r="J64" i="1"/>
  <c r="C68" i="1"/>
  <c r="F70" i="1"/>
  <c r="E70" i="1" s="1"/>
  <c r="J72" i="1"/>
  <c r="C76" i="1"/>
  <c r="F78" i="1"/>
  <c r="E78" i="1" s="1"/>
  <c r="J80" i="1"/>
  <c r="C84" i="1"/>
  <c r="F86" i="1"/>
  <c r="E86" i="1" s="1"/>
  <c r="J88" i="1"/>
  <c r="C92" i="1"/>
  <c r="F94" i="1"/>
  <c r="E94" i="1" s="1"/>
  <c r="J96" i="1"/>
  <c r="C100" i="1"/>
  <c r="F102" i="1"/>
  <c r="E102" i="1" s="1"/>
  <c r="J104" i="1"/>
  <c r="C107" i="1"/>
  <c r="F108" i="1"/>
  <c r="E108" i="1" s="1"/>
  <c r="J109" i="1"/>
  <c r="B111" i="1"/>
  <c r="A115" i="1"/>
  <c r="A139" i="1"/>
  <c r="J139" i="1"/>
  <c r="F139" i="1"/>
  <c r="E139" i="1" s="1"/>
  <c r="C139" i="1"/>
  <c r="J23" i="1"/>
  <c r="J31" i="1"/>
  <c r="J39" i="1"/>
  <c r="J47" i="1"/>
  <c r="J55" i="1"/>
  <c r="J63" i="1"/>
  <c r="J71" i="1"/>
  <c r="J79" i="1"/>
  <c r="J87" i="1"/>
  <c r="J95" i="1"/>
  <c r="J103" i="1"/>
  <c r="A147" i="1"/>
  <c r="J147" i="1"/>
  <c r="F147" i="1"/>
  <c r="E147" i="1" s="1"/>
  <c r="C147" i="1"/>
  <c r="B118" i="1"/>
  <c r="A118" i="1"/>
  <c r="F118" i="1"/>
  <c r="E118" i="1" s="1"/>
  <c r="A155" i="1"/>
  <c r="J155" i="1"/>
  <c r="F155" i="1"/>
  <c r="E155" i="1" s="1"/>
  <c r="C155" i="1"/>
  <c r="A23" i="1"/>
  <c r="B24" i="1"/>
  <c r="A31" i="1"/>
  <c r="B32" i="1"/>
  <c r="A39" i="1"/>
  <c r="A47" i="1"/>
  <c r="A55" i="1"/>
  <c r="B56" i="1"/>
  <c r="A63" i="1"/>
  <c r="A71" i="1"/>
  <c r="B72" i="1"/>
  <c r="A79" i="1"/>
  <c r="A87" i="1"/>
  <c r="A95" i="1"/>
  <c r="B96" i="1"/>
  <c r="A103" i="1"/>
  <c r="A109" i="1"/>
  <c r="F111" i="1"/>
  <c r="E111" i="1" s="1"/>
  <c r="F122" i="1"/>
  <c r="E122" i="1" s="1"/>
  <c r="B122" i="1"/>
  <c r="A122" i="1"/>
  <c r="F127" i="1"/>
  <c r="E127" i="1" s="1"/>
  <c r="C127" i="1"/>
  <c r="A127" i="1"/>
  <c r="J127" i="1"/>
  <c r="B134" i="1"/>
  <c r="A163" i="1"/>
  <c r="J163" i="1"/>
  <c r="F163" i="1"/>
  <c r="E163" i="1" s="1"/>
  <c r="C163" i="1"/>
  <c r="B163" i="1"/>
  <c r="C16" i="1"/>
  <c r="J20" i="1"/>
  <c r="A22" i="1"/>
  <c r="B23" i="1"/>
  <c r="C24" i="1"/>
  <c r="J28" i="1"/>
  <c r="A30" i="1"/>
  <c r="C32" i="1"/>
  <c r="J36" i="1"/>
  <c r="A38" i="1"/>
  <c r="B39" i="1"/>
  <c r="C40" i="1"/>
  <c r="J44" i="1"/>
  <c r="A46" i="1"/>
  <c r="B47" i="1"/>
  <c r="C48" i="1"/>
  <c r="J52" i="1"/>
  <c r="A54" i="1"/>
  <c r="B55" i="1"/>
  <c r="C56" i="1"/>
  <c r="J60" i="1"/>
  <c r="A62" i="1"/>
  <c r="C64" i="1"/>
  <c r="J68" i="1"/>
  <c r="A70" i="1"/>
  <c r="B71" i="1"/>
  <c r="C72" i="1"/>
  <c r="J76" i="1"/>
  <c r="A78" i="1"/>
  <c r="C80" i="1"/>
  <c r="J84" i="1"/>
  <c r="A86" i="1"/>
  <c r="B87" i="1"/>
  <c r="C88" i="1"/>
  <c r="J92" i="1"/>
  <c r="A94" i="1"/>
  <c r="C96" i="1"/>
  <c r="J100" i="1"/>
  <c r="A102" i="1"/>
  <c r="C104" i="1"/>
  <c r="B109" i="1"/>
  <c r="F135" i="1"/>
  <c r="E135" i="1" s="1"/>
  <c r="C135" i="1"/>
  <c r="A135" i="1"/>
  <c r="J135" i="1"/>
  <c r="B142" i="1"/>
  <c r="B107" i="1"/>
  <c r="C109" i="1"/>
  <c r="J115" i="1"/>
  <c r="C119" i="1"/>
  <c r="B119" i="1"/>
  <c r="J119" i="1"/>
  <c r="F143" i="1"/>
  <c r="E143" i="1" s="1"/>
  <c r="C143" i="1"/>
  <c r="B143" i="1"/>
  <c r="A143" i="1"/>
  <c r="J143" i="1"/>
  <c r="B108" i="1"/>
  <c r="B112" i="1"/>
  <c r="J123" i="1"/>
  <c r="C123" i="1"/>
  <c r="F151" i="1"/>
  <c r="E151" i="1" s="1"/>
  <c r="C151" i="1"/>
  <c r="A151" i="1"/>
  <c r="J151" i="1"/>
  <c r="B158" i="1"/>
  <c r="J120" i="1"/>
  <c r="F126" i="1"/>
  <c r="E126" i="1" s="1"/>
  <c r="J128" i="1"/>
  <c r="A130" i="1"/>
  <c r="F134" i="1"/>
  <c r="E134" i="1" s="1"/>
  <c r="J136" i="1"/>
  <c r="A138" i="1"/>
  <c r="F142" i="1"/>
  <c r="E142" i="1" s="1"/>
  <c r="J144" i="1"/>
  <c r="A146" i="1"/>
  <c r="F150" i="1"/>
  <c r="E150" i="1" s="1"/>
  <c r="J152" i="1"/>
  <c r="A154" i="1"/>
  <c r="F158" i="1"/>
  <c r="E158" i="1" s="1"/>
  <c r="J160" i="1"/>
  <c r="A162" i="1"/>
  <c r="F166" i="1"/>
  <c r="E166" i="1" s="1"/>
  <c r="J168" i="1"/>
  <c r="A170" i="1"/>
  <c r="F174" i="1"/>
  <c r="E174" i="1" s="1"/>
  <c r="J176" i="1"/>
  <c r="A178" i="1"/>
  <c r="F182" i="1"/>
  <c r="E182" i="1" s="1"/>
  <c r="J184" i="1"/>
  <c r="A186" i="1"/>
  <c r="F190" i="1"/>
  <c r="E190" i="1" s="1"/>
  <c r="J192" i="1"/>
  <c r="A194" i="1"/>
  <c r="F198" i="1"/>
  <c r="E198" i="1" s="1"/>
  <c r="J200" i="1"/>
  <c r="A202" i="1"/>
  <c r="F206" i="1"/>
  <c r="E206" i="1" s="1"/>
  <c r="J208" i="1"/>
  <c r="A210" i="1"/>
  <c r="F214" i="1"/>
  <c r="E214" i="1" s="1"/>
  <c r="J216" i="1"/>
  <c r="A218" i="1"/>
  <c r="F222" i="1"/>
  <c r="E222" i="1" s="1"/>
  <c r="A225" i="1"/>
  <c r="A229" i="1"/>
  <c r="C230" i="1"/>
  <c r="J232" i="1"/>
  <c r="B234" i="1"/>
  <c r="F235" i="1"/>
  <c r="E235" i="1" s="1"/>
  <c r="J236" i="1"/>
  <c r="B238" i="1"/>
  <c r="B241" i="1"/>
  <c r="A242" i="1"/>
  <c r="A246" i="1"/>
  <c r="F248" i="1"/>
  <c r="E248" i="1" s="1"/>
  <c r="B254" i="1"/>
  <c r="C257" i="1"/>
  <c r="B259" i="1"/>
  <c r="B130" i="1"/>
  <c r="B138" i="1"/>
  <c r="B146" i="1"/>
  <c r="B154" i="1"/>
  <c r="B162" i="1"/>
  <c r="J167" i="1"/>
  <c r="B170" i="1"/>
  <c r="C171" i="1"/>
  <c r="J175" i="1"/>
  <c r="B178" i="1"/>
  <c r="C179" i="1"/>
  <c r="J183" i="1"/>
  <c r="B186" i="1"/>
  <c r="C187" i="1"/>
  <c r="J191" i="1"/>
  <c r="B194" i="1"/>
  <c r="C195" i="1"/>
  <c r="J199" i="1"/>
  <c r="B202" i="1"/>
  <c r="C203" i="1"/>
  <c r="J207" i="1"/>
  <c r="B210" i="1"/>
  <c r="C211" i="1"/>
  <c r="J215" i="1"/>
  <c r="B218" i="1"/>
  <c r="C219" i="1"/>
  <c r="J223" i="1"/>
  <c r="C225" i="1"/>
  <c r="B229" i="1"/>
  <c r="A233" i="1"/>
  <c r="A237" i="1"/>
  <c r="B246" i="1"/>
  <c r="B249" i="1"/>
  <c r="C254" i="1"/>
  <c r="F259" i="1"/>
  <c r="E259" i="1" s="1"/>
  <c r="C267" i="1"/>
  <c r="A267" i="1"/>
  <c r="F267" i="1"/>
  <c r="E267" i="1" s="1"/>
  <c r="C229" i="1"/>
  <c r="F230" i="1"/>
  <c r="E230" i="1" s="1"/>
  <c r="C233" i="1"/>
  <c r="J235" i="1"/>
  <c r="B237" i="1"/>
  <c r="C246" i="1"/>
  <c r="J248" i="1"/>
  <c r="B250" i="1"/>
  <c r="B252" i="1"/>
  <c r="F252" i="1"/>
  <c r="E252" i="1" s="1"/>
  <c r="A265" i="1"/>
  <c r="J265" i="1"/>
  <c r="C265" i="1"/>
  <c r="B265" i="1"/>
  <c r="A268" i="1"/>
  <c r="J268" i="1"/>
  <c r="F268" i="1"/>
  <c r="E268" i="1" s="1"/>
  <c r="A167" i="1"/>
  <c r="F171" i="1"/>
  <c r="E171" i="1" s="1"/>
  <c r="A175" i="1"/>
  <c r="F179" i="1"/>
  <c r="E179" i="1" s="1"/>
  <c r="A183" i="1"/>
  <c r="F187" i="1"/>
  <c r="E187" i="1" s="1"/>
  <c r="A191" i="1"/>
  <c r="F195" i="1"/>
  <c r="E195" i="1" s="1"/>
  <c r="A199" i="1"/>
  <c r="F203" i="1"/>
  <c r="E203" i="1" s="1"/>
  <c r="A207" i="1"/>
  <c r="F211" i="1"/>
  <c r="E211" i="1" s="1"/>
  <c r="A215" i="1"/>
  <c r="F219" i="1"/>
  <c r="E219" i="1" s="1"/>
  <c r="A223" i="1"/>
  <c r="F225" i="1"/>
  <c r="E225" i="1" s="1"/>
  <c r="A257" i="1"/>
  <c r="J257" i="1"/>
  <c r="C259" i="1"/>
  <c r="A259" i="1"/>
  <c r="B272" i="1"/>
  <c r="A126" i="1"/>
  <c r="A134" i="1"/>
  <c r="A142" i="1"/>
  <c r="A150" i="1"/>
  <c r="A158" i="1"/>
  <c r="A166" i="1"/>
  <c r="A174" i="1"/>
  <c r="A182" i="1"/>
  <c r="A190" i="1"/>
  <c r="B191" i="1"/>
  <c r="A198" i="1"/>
  <c r="A206" i="1"/>
  <c r="B207" i="1"/>
  <c r="A214" i="1"/>
  <c r="A222" i="1"/>
  <c r="A227" i="1"/>
  <c r="F229" i="1"/>
  <c r="E229" i="1" s="1"/>
  <c r="C232" i="1"/>
  <c r="B236" i="1"/>
  <c r="A244" i="1"/>
  <c r="F246" i="1"/>
  <c r="E246" i="1" s="1"/>
  <c r="A273" i="1"/>
  <c r="J273" i="1"/>
  <c r="F273" i="1"/>
  <c r="E273" i="1" s="1"/>
  <c r="C273" i="1"/>
  <c r="B300" i="1"/>
  <c r="B308" i="1"/>
  <c r="C167" i="1"/>
  <c r="J171" i="1"/>
  <c r="C175" i="1"/>
  <c r="J179" i="1"/>
  <c r="C183" i="1"/>
  <c r="J187" i="1"/>
  <c r="C191" i="1"/>
  <c r="J195" i="1"/>
  <c r="C199" i="1"/>
  <c r="J203" i="1"/>
  <c r="C207" i="1"/>
  <c r="J211" i="1"/>
  <c r="C215" i="1"/>
  <c r="J219" i="1"/>
  <c r="C223" i="1"/>
  <c r="A235" i="1"/>
  <c r="C236" i="1"/>
  <c r="C240" i="1"/>
  <c r="J242" i="1"/>
  <c r="B244" i="1"/>
  <c r="A252" i="1"/>
  <c r="F253" i="1"/>
  <c r="E253" i="1" s="1"/>
  <c r="B225" i="1"/>
  <c r="J260" i="1"/>
  <c r="F260" i="1"/>
  <c r="E260" i="1" s="1"/>
  <c r="B233" i="1"/>
  <c r="A254" i="1"/>
  <c r="B261" i="1"/>
  <c r="B264" i="1"/>
  <c r="B267" i="1"/>
  <c r="B404" i="1"/>
  <c r="J262" i="1"/>
  <c r="J270" i="1"/>
  <c r="F276" i="1"/>
  <c r="E276" i="1" s="1"/>
  <c r="J278" i="1"/>
  <c r="A280" i="1"/>
  <c r="F284" i="1"/>
  <c r="E284" i="1" s="1"/>
  <c r="J286" i="1"/>
  <c r="A288" i="1"/>
  <c r="F292" i="1"/>
  <c r="E292" i="1" s="1"/>
  <c r="J294" i="1"/>
  <c r="A296" i="1"/>
  <c r="F300" i="1"/>
  <c r="E300" i="1" s="1"/>
  <c r="J302" i="1"/>
  <c r="A304" i="1"/>
  <c r="F308" i="1"/>
  <c r="E308" i="1" s="1"/>
  <c r="J310" i="1"/>
  <c r="A312" i="1"/>
  <c r="F316" i="1"/>
  <c r="E316" i="1" s="1"/>
  <c r="J318" i="1"/>
  <c r="A320" i="1"/>
  <c r="F324" i="1"/>
  <c r="E324" i="1" s="1"/>
  <c r="J326" i="1"/>
  <c r="A328" i="1"/>
  <c r="B329" i="1"/>
  <c r="F332" i="1"/>
  <c r="E332" i="1" s="1"/>
  <c r="J334" i="1"/>
  <c r="A336" i="1"/>
  <c r="F340" i="1"/>
  <c r="E340" i="1" s="1"/>
  <c r="J342" i="1"/>
  <c r="A344" i="1"/>
  <c r="F348" i="1"/>
  <c r="E348" i="1" s="1"/>
  <c r="J350" i="1"/>
  <c r="A352" i="1"/>
  <c r="F356" i="1"/>
  <c r="E356" i="1" s="1"/>
  <c r="J358" i="1"/>
  <c r="A360" i="1"/>
  <c r="B361" i="1"/>
  <c r="F364" i="1"/>
  <c r="E364" i="1" s="1"/>
  <c r="J366" i="1"/>
  <c r="A368" i="1"/>
  <c r="F372" i="1"/>
  <c r="E372" i="1" s="1"/>
  <c r="J374" i="1"/>
  <c r="A376" i="1"/>
  <c r="F380" i="1"/>
  <c r="E380" i="1" s="1"/>
  <c r="J382" i="1"/>
  <c r="A384" i="1"/>
  <c r="F388" i="1"/>
  <c r="E388" i="1" s="1"/>
  <c r="J390" i="1"/>
  <c r="C394" i="1"/>
  <c r="F396" i="1"/>
  <c r="E396" i="1" s="1"/>
  <c r="J398" i="1"/>
  <c r="C402" i="1"/>
  <c r="F404" i="1"/>
  <c r="E404" i="1" s="1"/>
  <c r="J406" i="1"/>
  <c r="C409" i="1"/>
  <c r="F410" i="1"/>
  <c r="E410" i="1" s="1"/>
  <c r="F275" i="1"/>
  <c r="E275" i="1" s="1"/>
  <c r="B280" i="1"/>
  <c r="C281" i="1"/>
  <c r="F283" i="1"/>
  <c r="E283" i="1" s="1"/>
  <c r="B288" i="1"/>
  <c r="C289" i="1"/>
  <c r="F291" i="1"/>
  <c r="E291" i="1" s="1"/>
  <c r="B296" i="1"/>
  <c r="C297" i="1"/>
  <c r="F299" i="1"/>
  <c r="E299" i="1" s="1"/>
  <c r="B304" i="1"/>
  <c r="C305" i="1"/>
  <c r="F307" i="1"/>
  <c r="E307" i="1" s="1"/>
  <c r="B312" i="1"/>
  <c r="C313" i="1"/>
  <c r="F315" i="1"/>
  <c r="E315" i="1" s="1"/>
  <c r="B320" i="1"/>
  <c r="C321" i="1"/>
  <c r="F323" i="1"/>
  <c r="E323" i="1" s="1"/>
  <c r="B328" i="1"/>
  <c r="C329" i="1"/>
  <c r="F331" i="1"/>
  <c r="E331" i="1" s="1"/>
  <c r="B336" i="1"/>
  <c r="C337" i="1"/>
  <c r="F339" i="1"/>
  <c r="E339" i="1" s="1"/>
  <c r="B344" i="1"/>
  <c r="C345" i="1"/>
  <c r="F347" i="1"/>
  <c r="E347" i="1" s="1"/>
  <c r="B352" i="1"/>
  <c r="C353" i="1"/>
  <c r="B360" i="1"/>
  <c r="C361" i="1"/>
  <c r="B368" i="1"/>
  <c r="C369" i="1"/>
  <c r="B376" i="1"/>
  <c r="C377" i="1"/>
  <c r="B384" i="1"/>
  <c r="C385" i="1"/>
  <c r="B392" i="1"/>
  <c r="C393" i="1"/>
  <c r="B400" i="1"/>
  <c r="C401" i="1"/>
  <c r="B408" i="1"/>
  <c r="A419" i="1"/>
  <c r="J419" i="1"/>
  <c r="F419" i="1"/>
  <c r="E419" i="1" s="1"/>
  <c r="J433" i="1"/>
  <c r="F433" i="1"/>
  <c r="E433" i="1" s="1"/>
  <c r="C433" i="1"/>
  <c r="B433" i="1"/>
  <c r="A433" i="1"/>
  <c r="J276" i="1"/>
  <c r="J284" i="1"/>
  <c r="J292" i="1"/>
  <c r="J300" i="1"/>
  <c r="J308" i="1"/>
  <c r="J316" i="1"/>
  <c r="J324" i="1"/>
  <c r="J332" i="1"/>
  <c r="J340" i="1"/>
  <c r="J348" i="1"/>
  <c r="A350" i="1"/>
  <c r="J356" i="1"/>
  <c r="A358" i="1"/>
  <c r="J364" i="1"/>
  <c r="A366" i="1"/>
  <c r="J372" i="1"/>
  <c r="A374" i="1"/>
  <c r="J380" i="1"/>
  <c r="A382" i="1"/>
  <c r="J388" i="1"/>
  <c r="A390" i="1"/>
  <c r="J396" i="1"/>
  <c r="A398" i="1"/>
  <c r="J404" i="1"/>
  <c r="A406" i="1"/>
  <c r="J410" i="1"/>
  <c r="J417" i="1"/>
  <c r="F417" i="1"/>
  <c r="E417" i="1" s="1"/>
  <c r="B417" i="1"/>
  <c r="F281" i="1"/>
  <c r="E281" i="1" s="1"/>
  <c r="F289" i="1"/>
  <c r="E289" i="1" s="1"/>
  <c r="F297" i="1"/>
  <c r="E297" i="1" s="1"/>
  <c r="F305" i="1"/>
  <c r="E305" i="1" s="1"/>
  <c r="F313" i="1"/>
  <c r="E313" i="1" s="1"/>
  <c r="F321" i="1"/>
  <c r="E321" i="1" s="1"/>
  <c r="F329" i="1"/>
  <c r="E329" i="1" s="1"/>
  <c r="F337" i="1"/>
  <c r="E337" i="1" s="1"/>
  <c r="F345" i="1"/>
  <c r="E345" i="1" s="1"/>
  <c r="F353" i="1"/>
  <c r="E353" i="1" s="1"/>
  <c r="F361" i="1"/>
  <c r="E361" i="1" s="1"/>
  <c r="F369" i="1"/>
  <c r="E369" i="1" s="1"/>
  <c r="F377" i="1"/>
  <c r="E377" i="1" s="1"/>
  <c r="F385" i="1"/>
  <c r="E385" i="1" s="1"/>
  <c r="F393" i="1"/>
  <c r="E393" i="1" s="1"/>
  <c r="F401" i="1"/>
  <c r="E401" i="1" s="1"/>
  <c r="C414" i="1"/>
  <c r="B418" i="1"/>
  <c r="J425" i="1"/>
  <c r="F425" i="1"/>
  <c r="E425" i="1" s="1"/>
  <c r="C425" i="1"/>
  <c r="A425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396" i="1"/>
  <c r="A404" i="1"/>
  <c r="B416" i="1"/>
  <c r="C261" i="1"/>
  <c r="C269" i="1"/>
  <c r="A275" i="1"/>
  <c r="J281" i="1"/>
  <c r="A283" i="1"/>
  <c r="J289" i="1"/>
  <c r="A291" i="1"/>
  <c r="J297" i="1"/>
  <c r="A299" i="1"/>
  <c r="J305" i="1"/>
  <c r="A307" i="1"/>
  <c r="J313" i="1"/>
  <c r="A315" i="1"/>
  <c r="J321" i="1"/>
  <c r="A323" i="1"/>
  <c r="J329" i="1"/>
  <c r="A331" i="1"/>
  <c r="J337" i="1"/>
  <c r="A339" i="1"/>
  <c r="J345" i="1"/>
  <c r="A347" i="1"/>
  <c r="J353" i="1"/>
  <c r="A355" i="1"/>
  <c r="J361" i="1"/>
  <c r="A363" i="1"/>
  <c r="J369" i="1"/>
  <c r="A371" i="1"/>
  <c r="J377" i="1"/>
  <c r="A379" i="1"/>
  <c r="J385" i="1"/>
  <c r="A387" i="1"/>
  <c r="J393" i="1"/>
  <c r="A395" i="1"/>
  <c r="C397" i="1"/>
  <c r="J401" i="1"/>
  <c r="A403" i="1"/>
  <c r="C405" i="1"/>
  <c r="B409" i="1"/>
  <c r="A410" i="1"/>
  <c r="B412" i="1"/>
  <c r="F412" i="1"/>
  <c r="E412" i="1" s="1"/>
  <c r="J449" i="1"/>
  <c r="F449" i="1"/>
  <c r="E449" i="1" s="1"/>
  <c r="C449" i="1"/>
  <c r="A449" i="1"/>
  <c r="A414" i="1"/>
  <c r="J414" i="1"/>
  <c r="B444" i="1"/>
  <c r="A409" i="1"/>
  <c r="C416" i="1"/>
  <c r="A416" i="1"/>
  <c r="A417" i="1"/>
  <c r="B438" i="1"/>
  <c r="J441" i="1"/>
  <c r="F441" i="1"/>
  <c r="E441" i="1" s="1"/>
  <c r="C441" i="1"/>
  <c r="A441" i="1"/>
  <c r="B544" i="1"/>
  <c r="B426" i="1"/>
  <c r="C427" i="1"/>
  <c r="B434" i="1"/>
  <c r="C435" i="1"/>
  <c r="B442" i="1"/>
  <c r="C443" i="1"/>
  <c r="B450" i="1"/>
  <c r="C451" i="1"/>
  <c r="A457" i="1"/>
  <c r="B458" i="1"/>
  <c r="C459" i="1"/>
  <c r="A465" i="1"/>
  <c r="B466" i="1"/>
  <c r="C467" i="1"/>
  <c r="A473" i="1"/>
  <c r="B474" i="1"/>
  <c r="C475" i="1"/>
  <c r="A481" i="1"/>
  <c r="B482" i="1"/>
  <c r="C483" i="1"/>
  <c r="A489" i="1"/>
  <c r="B490" i="1"/>
  <c r="C491" i="1"/>
  <c r="A497" i="1"/>
  <c r="B498" i="1"/>
  <c r="C499" i="1"/>
  <c r="A505" i="1"/>
  <c r="B506" i="1"/>
  <c r="C507" i="1"/>
  <c r="B516" i="1"/>
  <c r="A518" i="1"/>
  <c r="C518" i="1"/>
  <c r="A519" i="1"/>
  <c r="B568" i="1"/>
  <c r="F420" i="1"/>
  <c r="E420" i="1" s="1"/>
  <c r="J422" i="1"/>
  <c r="A424" i="1"/>
  <c r="F428" i="1"/>
  <c r="E428" i="1" s="1"/>
  <c r="J430" i="1"/>
  <c r="A432" i="1"/>
  <c r="F436" i="1"/>
  <c r="E436" i="1" s="1"/>
  <c r="J438" i="1"/>
  <c r="A440" i="1"/>
  <c r="F444" i="1"/>
  <c r="E444" i="1" s="1"/>
  <c r="J446" i="1"/>
  <c r="A448" i="1"/>
  <c r="F452" i="1"/>
  <c r="E452" i="1" s="1"/>
  <c r="J454" i="1"/>
  <c r="A456" i="1"/>
  <c r="B457" i="1"/>
  <c r="F460" i="1"/>
  <c r="E460" i="1" s="1"/>
  <c r="J462" i="1"/>
  <c r="A464" i="1"/>
  <c r="B465" i="1"/>
  <c r="F468" i="1"/>
  <c r="E468" i="1" s="1"/>
  <c r="J470" i="1"/>
  <c r="A472" i="1"/>
  <c r="B473" i="1"/>
  <c r="F476" i="1"/>
  <c r="E476" i="1" s="1"/>
  <c r="J478" i="1"/>
  <c r="A480" i="1"/>
  <c r="B481" i="1"/>
  <c r="F484" i="1"/>
  <c r="E484" i="1" s="1"/>
  <c r="J486" i="1"/>
  <c r="A488" i="1"/>
  <c r="B489" i="1"/>
  <c r="F492" i="1"/>
  <c r="E492" i="1" s="1"/>
  <c r="J494" i="1"/>
  <c r="A496" i="1"/>
  <c r="B497" i="1"/>
  <c r="F500" i="1"/>
  <c r="E500" i="1" s="1"/>
  <c r="J502" i="1"/>
  <c r="A504" i="1"/>
  <c r="B505" i="1"/>
  <c r="F508" i="1"/>
  <c r="E508" i="1" s="1"/>
  <c r="A511" i="1"/>
  <c r="C512" i="1"/>
  <c r="F513" i="1"/>
  <c r="E513" i="1" s="1"/>
  <c r="C516" i="1"/>
  <c r="C519" i="1"/>
  <c r="C520" i="1"/>
  <c r="A520" i="1"/>
  <c r="F520" i="1"/>
  <c r="E520" i="1" s="1"/>
  <c r="A521" i="1"/>
  <c r="F522" i="1"/>
  <c r="E522" i="1" s="1"/>
  <c r="C522" i="1"/>
  <c r="J522" i="1"/>
  <c r="C528" i="1"/>
  <c r="B528" i="1"/>
  <c r="A528" i="1"/>
  <c r="F528" i="1"/>
  <c r="E528" i="1" s="1"/>
  <c r="B532" i="1"/>
  <c r="B592" i="1"/>
  <c r="B424" i="1"/>
  <c r="F427" i="1"/>
  <c r="E427" i="1" s="1"/>
  <c r="B432" i="1"/>
  <c r="F435" i="1"/>
  <c r="E435" i="1" s="1"/>
  <c r="B440" i="1"/>
  <c r="F443" i="1"/>
  <c r="E443" i="1" s="1"/>
  <c r="B448" i="1"/>
  <c r="F451" i="1"/>
  <c r="E451" i="1" s="1"/>
  <c r="B456" i="1"/>
  <c r="C457" i="1"/>
  <c r="F459" i="1"/>
  <c r="E459" i="1" s="1"/>
  <c r="B464" i="1"/>
  <c r="C465" i="1"/>
  <c r="F467" i="1"/>
  <c r="E467" i="1" s="1"/>
  <c r="B472" i="1"/>
  <c r="C473" i="1"/>
  <c r="F475" i="1"/>
  <c r="E475" i="1" s="1"/>
  <c r="B480" i="1"/>
  <c r="C481" i="1"/>
  <c r="F483" i="1"/>
  <c r="E483" i="1" s="1"/>
  <c r="B488" i="1"/>
  <c r="C489" i="1"/>
  <c r="F491" i="1"/>
  <c r="E491" i="1" s="1"/>
  <c r="B496" i="1"/>
  <c r="C497" i="1"/>
  <c r="F499" i="1"/>
  <c r="E499" i="1" s="1"/>
  <c r="B504" i="1"/>
  <c r="C505" i="1"/>
  <c r="F507" i="1"/>
  <c r="E507" i="1" s="1"/>
  <c r="B511" i="1"/>
  <c r="B515" i="1"/>
  <c r="F519" i="1"/>
  <c r="E519" i="1" s="1"/>
  <c r="C521" i="1"/>
  <c r="B523" i="1"/>
  <c r="J524" i="1"/>
  <c r="F524" i="1"/>
  <c r="E524" i="1" s="1"/>
  <c r="A524" i="1"/>
  <c r="A526" i="1"/>
  <c r="J526" i="1"/>
  <c r="C526" i="1"/>
  <c r="F529" i="1"/>
  <c r="E529" i="1" s="1"/>
  <c r="C529" i="1"/>
  <c r="B529" i="1"/>
  <c r="J529" i="1"/>
  <c r="B552" i="1"/>
  <c r="J420" i="1"/>
  <c r="A422" i="1"/>
  <c r="J428" i="1"/>
  <c r="A430" i="1"/>
  <c r="J436" i="1"/>
  <c r="A438" i="1"/>
  <c r="J444" i="1"/>
  <c r="A446" i="1"/>
  <c r="J452" i="1"/>
  <c r="A454" i="1"/>
  <c r="J460" i="1"/>
  <c r="A462" i="1"/>
  <c r="J468" i="1"/>
  <c r="A470" i="1"/>
  <c r="J476" i="1"/>
  <c r="A478" i="1"/>
  <c r="J484" i="1"/>
  <c r="A486" i="1"/>
  <c r="J492" i="1"/>
  <c r="A494" i="1"/>
  <c r="J500" i="1"/>
  <c r="A502" i="1"/>
  <c r="J508" i="1"/>
  <c r="C511" i="1"/>
  <c r="B517" i="1"/>
  <c r="B518" i="1"/>
  <c r="F521" i="1"/>
  <c r="E521" i="1" s="1"/>
  <c r="B576" i="1"/>
  <c r="J427" i="1"/>
  <c r="J435" i="1"/>
  <c r="J443" i="1"/>
  <c r="J451" i="1"/>
  <c r="F457" i="1"/>
  <c r="E457" i="1" s="1"/>
  <c r="J459" i="1"/>
  <c r="F465" i="1"/>
  <c r="E465" i="1" s="1"/>
  <c r="J467" i="1"/>
  <c r="F473" i="1"/>
  <c r="E473" i="1" s="1"/>
  <c r="J475" i="1"/>
  <c r="F481" i="1"/>
  <c r="E481" i="1" s="1"/>
  <c r="J483" i="1"/>
  <c r="F489" i="1"/>
  <c r="E489" i="1" s="1"/>
  <c r="J491" i="1"/>
  <c r="F497" i="1"/>
  <c r="E497" i="1" s="1"/>
  <c r="J499" i="1"/>
  <c r="F505" i="1"/>
  <c r="E505" i="1" s="1"/>
  <c r="J507" i="1"/>
  <c r="F511" i="1"/>
  <c r="E511" i="1" s="1"/>
  <c r="J512" i="1"/>
  <c r="B536" i="1"/>
  <c r="J516" i="1"/>
  <c r="A516" i="1"/>
  <c r="B519" i="1"/>
  <c r="B521" i="1"/>
  <c r="F535" i="1"/>
  <c r="E535" i="1" s="1"/>
  <c r="C535" i="1"/>
  <c r="B535" i="1"/>
  <c r="A535" i="1"/>
  <c r="J535" i="1"/>
  <c r="B560" i="1"/>
  <c r="B524" i="1"/>
  <c r="B574" i="1"/>
  <c r="B584" i="1"/>
  <c r="B601" i="1"/>
  <c r="J530" i="1"/>
  <c r="A532" i="1"/>
  <c r="C534" i="1"/>
  <c r="A536" i="1"/>
  <c r="J538" i="1"/>
  <c r="F540" i="1"/>
  <c r="E540" i="1" s="1"/>
  <c r="C542" i="1"/>
  <c r="A544" i="1"/>
  <c r="J546" i="1"/>
  <c r="F548" i="1"/>
  <c r="E548" i="1" s="1"/>
  <c r="C550" i="1"/>
  <c r="A552" i="1"/>
  <c r="J554" i="1"/>
  <c r="F556" i="1"/>
  <c r="E556" i="1" s="1"/>
  <c r="C558" i="1"/>
  <c r="A560" i="1"/>
  <c r="J562" i="1"/>
  <c r="F564" i="1"/>
  <c r="E564" i="1" s="1"/>
  <c r="C566" i="1"/>
  <c r="A568" i="1"/>
  <c r="J570" i="1"/>
  <c r="F572" i="1"/>
  <c r="E572" i="1" s="1"/>
  <c r="C574" i="1"/>
  <c r="A576" i="1"/>
  <c r="J578" i="1"/>
  <c r="F580" i="1"/>
  <c r="E580" i="1" s="1"/>
  <c r="C582" i="1"/>
  <c r="A584" i="1"/>
  <c r="J586" i="1"/>
  <c r="F588" i="1"/>
  <c r="E588" i="1" s="1"/>
  <c r="C590" i="1"/>
  <c r="A592" i="1"/>
  <c r="J594" i="1"/>
  <c r="F596" i="1"/>
  <c r="E596" i="1" s="1"/>
  <c r="C598" i="1"/>
  <c r="C605" i="1"/>
  <c r="A605" i="1"/>
  <c r="J605" i="1"/>
  <c r="F605" i="1"/>
  <c r="E605" i="1" s="1"/>
  <c r="B618" i="1"/>
  <c r="C629" i="1"/>
  <c r="A629" i="1"/>
  <c r="J629" i="1"/>
  <c r="F629" i="1"/>
  <c r="E629" i="1" s="1"/>
  <c r="J543" i="1"/>
  <c r="J551" i="1"/>
  <c r="J559" i="1"/>
  <c r="J567" i="1"/>
  <c r="J575" i="1"/>
  <c r="J583" i="1"/>
  <c r="J591" i="1"/>
  <c r="B606" i="1"/>
  <c r="F611" i="1"/>
  <c r="E611" i="1" s="1"/>
  <c r="C611" i="1"/>
  <c r="A611" i="1"/>
  <c r="J611" i="1"/>
  <c r="A543" i="1"/>
  <c r="A551" i="1"/>
  <c r="A559" i="1"/>
  <c r="A567" i="1"/>
  <c r="A575" i="1"/>
  <c r="A583" i="1"/>
  <c r="A591" i="1"/>
  <c r="A607" i="1"/>
  <c r="J607" i="1"/>
  <c r="F607" i="1"/>
  <c r="E607" i="1" s="1"/>
  <c r="C607" i="1"/>
  <c r="B612" i="1"/>
  <c r="C613" i="1"/>
  <c r="A613" i="1"/>
  <c r="J613" i="1"/>
  <c r="F613" i="1"/>
  <c r="E613" i="1" s="1"/>
  <c r="C621" i="1"/>
  <c r="A621" i="1"/>
  <c r="J621" i="1"/>
  <c r="F621" i="1"/>
  <c r="E621" i="1" s="1"/>
  <c r="C530" i="1"/>
  <c r="F532" i="1"/>
  <c r="E532" i="1" s="1"/>
  <c r="J534" i="1"/>
  <c r="F536" i="1"/>
  <c r="E536" i="1" s="1"/>
  <c r="C538" i="1"/>
  <c r="A540" i="1"/>
  <c r="J542" i="1"/>
  <c r="F544" i="1"/>
  <c r="E544" i="1" s="1"/>
  <c r="C546" i="1"/>
  <c r="A548" i="1"/>
  <c r="J550" i="1"/>
  <c r="F552" i="1"/>
  <c r="E552" i="1" s="1"/>
  <c r="C554" i="1"/>
  <c r="A556" i="1"/>
  <c r="J558" i="1"/>
  <c r="B559" i="1"/>
  <c r="F560" i="1"/>
  <c r="E560" i="1" s="1"/>
  <c r="C562" i="1"/>
  <c r="A564" i="1"/>
  <c r="J566" i="1"/>
  <c r="F568" i="1"/>
  <c r="E568" i="1" s="1"/>
  <c r="C570" i="1"/>
  <c r="A572" i="1"/>
  <c r="J574" i="1"/>
  <c r="F576" i="1"/>
  <c r="E576" i="1" s="1"/>
  <c r="C578" i="1"/>
  <c r="A580" i="1"/>
  <c r="J582" i="1"/>
  <c r="F584" i="1"/>
  <c r="E584" i="1" s="1"/>
  <c r="C586" i="1"/>
  <c r="A588" i="1"/>
  <c r="J590" i="1"/>
  <c r="B591" i="1"/>
  <c r="F592" i="1"/>
  <c r="E592" i="1" s="1"/>
  <c r="C594" i="1"/>
  <c r="A596" i="1"/>
  <c r="B600" i="1"/>
  <c r="B614" i="1"/>
  <c r="B622" i="1"/>
  <c r="B540" i="1"/>
  <c r="C543" i="1"/>
  <c r="B548" i="1"/>
  <c r="C551" i="1"/>
  <c r="B556" i="1"/>
  <c r="C559" i="1"/>
  <c r="B564" i="1"/>
  <c r="C567" i="1"/>
  <c r="B572" i="1"/>
  <c r="C575" i="1"/>
  <c r="B580" i="1"/>
  <c r="C583" i="1"/>
  <c r="B588" i="1"/>
  <c r="C591" i="1"/>
  <c r="B596" i="1"/>
  <c r="C603" i="1"/>
  <c r="A603" i="1"/>
  <c r="J603" i="1"/>
  <c r="A615" i="1"/>
  <c r="J615" i="1"/>
  <c r="F615" i="1"/>
  <c r="E615" i="1" s="1"/>
  <c r="C615" i="1"/>
  <c r="A534" i="1"/>
  <c r="A542" i="1"/>
  <c r="A550" i="1"/>
  <c r="A558" i="1"/>
  <c r="A566" i="1"/>
  <c r="A574" i="1"/>
  <c r="A582" i="1"/>
  <c r="A590" i="1"/>
  <c r="A600" i="1"/>
  <c r="J609" i="1"/>
  <c r="F609" i="1"/>
  <c r="E609" i="1" s="1"/>
  <c r="C609" i="1"/>
  <c r="A609" i="1"/>
  <c r="J625" i="1"/>
  <c r="F625" i="1"/>
  <c r="E625" i="1" s="1"/>
  <c r="C625" i="1"/>
  <c r="B625" i="1"/>
  <c r="A625" i="1"/>
  <c r="F601" i="1"/>
  <c r="E601" i="1" s="1"/>
  <c r="A601" i="1"/>
  <c r="B610" i="1"/>
  <c r="J617" i="1"/>
  <c r="F617" i="1"/>
  <c r="E617" i="1" s="1"/>
  <c r="C617" i="1"/>
  <c r="B617" i="1"/>
  <c r="A617" i="1"/>
  <c r="B626" i="1"/>
  <c r="J619" i="1"/>
  <c r="C623" i="1"/>
  <c r="J627" i="1"/>
  <c r="C631" i="1"/>
  <c r="A633" i="1"/>
  <c r="J635" i="1"/>
  <c r="F637" i="1"/>
  <c r="E637" i="1" s="1"/>
  <c r="C639" i="1"/>
  <c r="A641" i="1"/>
  <c r="J643" i="1"/>
  <c r="F645" i="1"/>
  <c r="E645" i="1" s="1"/>
  <c r="C647" i="1"/>
  <c r="A649" i="1"/>
  <c r="J651" i="1"/>
  <c r="F653" i="1"/>
  <c r="E653" i="1" s="1"/>
  <c r="C655" i="1"/>
  <c r="A657" i="1"/>
  <c r="J659" i="1"/>
  <c r="F661" i="1"/>
  <c r="E661" i="1" s="1"/>
  <c r="C663" i="1"/>
  <c r="A665" i="1"/>
  <c r="J667" i="1"/>
  <c r="F669" i="1"/>
  <c r="E669" i="1" s="1"/>
  <c r="C671" i="1"/>
  <c r="A673" i="1"/>
  <c r="J675" i="1"/>
  <c r="F677" i="1"/>
  <c r="E677" i="1" s="1"/>
  <c r="B680" i="1"/>
  <c r="J684" i="1"/>
  <c r="C685" i="1"/>
  <c r="J686" i="1"/>
  <c r="B687" i="1"/>
  <c r="B695" i="1"/>
  <c r="B703" i="1"/>
  <c r="F720" i="1"/>
  <c r="E720" i="1" s="1"/>
  <c r="C720" i="1"/>
  <c r="B720" i="1"/>
  <c r="A720" i="1"/>
  <c r="J720" i="1"/>
  <c r="B633" i="1"/>
  <c r="B641" i="1"/>
  <c r="B649" i="1"/>
  <c r="B657" i="1"/>
  <c r="B665" i="1"/>
  <c r="B673" i="1"/>
  <c r="C687" i="1"/>
  <c r="B688" i="1"/>
  <c r="C689" i="1"/>
  <c r="B719" i="1"/>
  <c r="A619" i="1"/>
  <c r="F623" i="1"/>
  <c r="E623" i="1" s="1"/>
  <c r="A627" i="1"/>
  <c r="B630" i="1"/>
  <c r="F631" i="1"/>
  <c r="E631" i="1" s="1"/>
  <c r="C633" i="1"/>
  <c r="A635" i="1"/>
  <c r="J637" i="1"/>
  <c r="B638" i="1"/>
  <c r="F639" i="1"/>
  <c r="E639" i="1" s="1"/>
  <c r="C641" i="1"/>
  <c r="A643" i="1"/>
  <c r="J645" i="1"/>
  <c r="B646" i="1"/>
  <c r="F647" i="1"/>
  <c r="E647" i="1" s="1"/>
  <c r="C649" i="1"/>
  <c r="A651" i="1"/>
  <c r="J653" i="1"/>
  <c r="B654" i="1"/>
  <c r="F655" i="1"/>
  <c r="E655" i="1" s="1"/>
  <c r="C657" i="1"/>
  <c r="A659" i="1"/>
  <c r="J661" i="1"/>
  <c r="B662" i="1"/>
  <c r="F663" i="1"/>
  <c r="E663" i="1" s="1"/>
  <c r="C665" i="1"/>
  <c r="A667" i="1"/>
  <c r="J669" i="1"/>
  <c r="B670" i="1"/>
  <c r="F671" i="1"/>
  <c r="E671" i="1" s="1"/>
  <c r="C673" i="1"/>
  <c r="A675" i="1"/>
  <c r="J677" i="1"/>
  <c r="B678" i="1"/>
  <c r="F683" i="1"/>
  <c r="E683" i="1" s="1"/>
  <c r="F685" i="1"/>
  <c r="E685" i="1" s="1"/>
  <c r="C693" i="1"/>
  <c r="C697" i="1"/>
  <c r="C701" i="1"/>
  <c r="F712" i="1"/>
  <c r="E712" i="1" s="1"/>
  <c r="C712" i="1"/>
  <c r="A712" i="1"/>
  <c r="J712" i="1"/>
  <c r="B743" i="1"/>
  <c r="F704" i="1"/>
  <c r="E704" i="1" s="1"/>
  <c r="C704" i="1"/>
  <c r="J704" i="1"/>
  <c r="B711" i="1"/>
  <c r="A724" i="1"/>
  <c r="J724" i="1"/>
  <c r="F724" i="1"/>
  <c r="E724" i="1" s="1"/>
  <c r="C724" i="1"/>
  <c r="C619" i="1"/>
  <c r="J623" i="1"/>
  <c r="C627" i="1"/>
  <c r="J631" i="1"/>
  <c r="F633" i="1"/>
  <c r="E633" i="1" s="1"/>
  <c r="C635" i="1"/>
  <c r="A637" i="1"/>
  <c r="J639" i="1"/>
  <c r="F641" i="1"/>
  <c r="E641" i="1" s="1"/>
  <c r="C643" i="1"/>
  <c r="A645" i="1"/>
  <c r="J647" i="1"/>
  <c r="F649" i="1"/>
  <c r="E649" i="1" s="1"/>
  <c r="C651" i="1"/>
  <c r="A653" i="1"/>
  <c r="J655" i="1"/>
  <c r="F657" i="1"/>
  <c r="E657" i="1" s="1"/>
  <c r="C659" i="1"/>
  <c r="A661" i="1"/>
  <c r="J663" i="1"/>
  <c r="F665" i="1"/>
  <c r="E665" i="1" s="1"/>
  <c r="C667" i="1"/>
  <c r="A669" i="1"/>
  <c r="J671" i="1"/>
  <c r="F673" i="1"/>
  <c r="E673" i="1" s="1"/>
  <c r="C675" i="1"/>
  <c r="A677" i="1"/>
  <c r="J683" i="1"/>
  <c r="J685" i="1"/>
  <c r="C688" i="1"/>
  <c r="J689" i="1"/>
  <c r="J692" i="1"/>
  <c r="C692" i="1"/>
  <c r="C696" i="1"/>
  <c r="J696" i="1"/>
  <c r="J700" i="1"/>
  <c r="C700" i="1"/>
  <c r="B735" i="1"/>
  <c r="B637" i="1"/>
  <c r="B653" i="1"/>
  <c r="B693" i="1"/>
  <c r="A693" i="1"/>
  <c r="F693" i="1"/>
  <c r="E693" i="1" s="1"/>
  <c r="F697" i="1"/>
  <c r="E697" i="1" s="1"/>
  <c r="B697" i="1"/>
  <c r="A697" i="1"/>
  <c r="B701" i="1"/>
  <c r="A701" i="1"/>
  <c r="F701" i="1"/>
  <c r="E701" i="1" s="1"/>
  <c r="A716" i="1"/>
  <c r="J716" i="1"/>
  <c r="F716" i="1"/>
  <c r="E716" i="1" s="1"/>
  <c r="C716" i="1"/>
  <c r="B749" i="1"/>
  <c r="F688" i="1"/>
  <c r="E688" i="1" s="1"/>
  <c r="A708" i="1"/>
  <c r="J708" i="1"/>
  <c r="F708" i="1"/>
  <c r="E708" i="1" s="1"/>
  <c r="C708" i="1"/>
  <c r="B727" i="1"/>
  <c r="J691" i="1"/>
  <c r="C695" i="1"/>
  <c r="J699" i="1"/>
  <c r="C703" i="1"/>
  <c r="A705" i="1"/>
  <c r="J707" i="1"/>
  <c r="F709" i="1"/>
  <c r="E709" i="1" s="1"/>
  <c r="C711" i="1"/>
  <c r="A713" i="1"/>
  <c r="J715" i="1"/>
  <c r="F717" i="1"/>
  <c r="E717" i="1" s="1"/>
  <c r="C719" i="1"/>
  <c r="A721" i="1"/>
  <c r="J723" i="1"/>
  <c r="F725" i="1"/>
  <c r="E725" i="1" s="1"/>
  <c r="C727" i="1"/>
  <c r="A729" i="1"/>
  <c r="J731" i="1"/>
  <c r="F733" i="1"/>
  <c r="E733" i="1" s="1"/>
  <c r="C735" i="1"/>
  <c r="A737" i="1"/>
  <c r="J739" i="1"/>
  <c r="F741" i="1"/>
  <c r="E741" i="1" s="1"/>
  <c r="C743" i="1"/>
  <c r="A745" i="1"/>
  <c r="J752" i="1"/>
  <c r="F752" i="1"/>
  <c r="E752" i="1" s="1"/>
  <c r="A760" i="1"/>
  <c r="J760" i="1"/>
  <c r="F760" i="1"/>
  <c r="E760" i="1" s="1"/>
  <c r="B773" i="1"/>
  <c r="C783" i="1"/>
  <c r="B787" i="1"/>
  <c r="C799" i="1"/>
  <c r="B803" i="1"/>
  <c r="B843" i="1"/>
  <c r="B855" i="1"/>
  <c r="B705" i="1"/>
  <c r="B713" i="1"/>
  <c r="B721" i="1"/>
  <c r="J728" i="1"/>
  <c r="B729" i="1"/>
  <c r="C732" i="1"/>
  <c r="J736" i="1"/>
  <c r="B737" i="1"/>
  <c r="C740" i="1"/>
  <c r="J744" i="1"/>
  <c r="B745" i="1"/>
  <c r="C751" i="1"/>
  <c r="B765" i="1"/>
  <c r="B827" i="1"/>
  <c r="J834" i="1"/>
  <c r="F834" i="1"/>
  <c r="E834" i="1" s="1"/>
  <c r="C834" i="1"/>
  <c r="A834" i="1"/>
  <c r="A750" i="1"/>
  <c r="J750" i="1"/>
  <c r="J778" i="1"/>
  <c r="F778" i="1"/>
  <c r="E778" i="1" s="1"/>
  <c r="C778" i="1"/>
  <c r="C782" i="1"/>
  <c r="A782" i="1"/>
  <c r="J782" i="1"/>
  <c r="F783" i="1"/>
  <c r="E783" i="1" s="1"/>
  <c r="B783" i="1"/>
  <c r="A783" i="1"/>
  <c r="J794" i="1"/>
  <c r="F794" i="1"/>
  <c r="E794" i="1" s="1"/>
  <c r="C794" i="1"/>
  <c r="C798" i="1"/>
  <c r="B798" i="1"/>
  <c r="A798" i="1"/>
  <c r="J798" i="1"/>
  <c r="F799" i="1"/>
  <c r="E799" i="1" s="1"/>
  <c r="B799" i="1"/>
  <c r="A799" i="1"/>
  <c r="J810" i="1"/>
  <c r="F810" i="1"/>
  <c r="E810" i="1" s="1"/>
  <c r="C810" i="1"/>
  <c r="C814" i="1"/>
  <c r="A814" i="1"/>
  <c r="J814" i="1"/>
  <c r="F815" i="1"/>
  <c r="E815" i="1" s="1"/>
  <c r="B815" i="1"/>
  <c r="A815" i="1"/>
  <c r="A728" i="1"/>
  <c r="F732" i="1"/>
  <c r="E732" i="1" s="1"/>
  <c r="A736" i="1"/>
  <c r="A744" i="1"/>
  <c r="J770" i="1"/>
  <c r="F770" i="1"/>
  <c r="E770" i="1" s="1"/>
  <c r="C770" i="1"/>
  <c r="B835" i="1"/>
  <c r="A709" i="1"/>
  <c r="A717" i="1"/>
  <c r="A725" i="1"/>
  <c r="B728" i="1"/>
  <c r="A733" i="1"/>
  <c r="A741" i="1"/>
  <c r="B744" i="1"/>
  <c r="C749" i="1"/>
  <c r="B752" i="1"/>
  <c r="C759" i="1"/>
  <c r="J762" i="1"/>
  <c r="F762" i="1"/>
  <c r="E762" i="1" s="1"/>
  <c r="C762" i="1"/>
  <c r="F767" i="1"/>
  <c r="E767" i="1" s="1"/>
  <c r="C774" i="1"/>
  <c r="A774" i="1"/>
  <c r="J774" i="1"/>
  <c r="B779" i="1"/>
  <c r="C791" i="1"/>
  <c r="B795" i="1"/>
  <c r="C807" i="1"/>
  <c r="B811" i="1"/>
  <c r="C822" i="1"/>
  <c r="A822" i="1"/>
  <c r="J822" i="1"/>
  <c r="F822" i="1"/>
  <c r="E822" i="1" s="1"/>
  <c r="C728" i="1"/>
  <c r="J732" i="1"/>
  <c r="C736" i="1"/>
  <c r="J740" i="1"/>
  <c r="C744" i="1"/>
  <c r="A746" i="1"/>
  <c r="F749" i="1"/>
  <c r="E749" i="1" s="1"/>
  <c r="B750" i="1"/>
  <c r="B751" i="1"/>
  <c r="C752" i="1"/>
  <c r="J754" i="1"/>
  <c r="F754" i="1"/>
  <c r="E754" i="1" s="1"/>
  <c r="C754" i="1"/>
  <c r="F759" i="1"/>
  <c r="E759" i="1" s="1"/>
  <c r="B760" i="1"/>
  <c r="C766" i="1"/>
  <c r="A766" i="1"/>
  <c r="J766" i="1"/>
  <c r="B771" i="1"/>
  <c r="B775" i="1"/>
  <c r="A775" i="1"/>
  <c r="J818" i="1"/>
  <c r="F818" i="1"/>
  <c r="E818" i="1" s="1"/>
  <c r="C818" i="1"/>
  <c r="A818" i="1"/>
  <c r="B746" i="1"/>
  <c r="C750" i="1"/>
  <c r="C758" i="1"/>
  <c r="A758" i="1"/>
  <c r="J758" i="1"/>
  <c r="B763" i="1"/>
  <c r="B767" i="1"/>
  <c r="A767" i="1"/>
  <c r="A776" i="1"/>
  <c r="J776" i="1"/>
  <c r="F776" i="1"/>
  <c r="E776" i="1" s="1"/>
  <c r="J786" i="1"/>
  <c r="F786" i="1"/>
  <c r="E786" i="1" s="1"/>
  <c r="C786" i="1"/>
  <c r="C790" i="1"/>
  <c r="A790" i="1"/>
  <c r="J790" i="1"/>
  <c r="F791" i="1"/>
  <c r="E791" i="1" s="1"/>
  <c r="B791" i="1"/>
  <c r="A791" i="1"/>
  <c r="J802" i="1"/>
  <c r="F802" i="1"/>
  <c r="E802" i="1" s="1"/>
  <c r="C802" i="1"/>
  <c r="B802" i="1"/>
  <c r="C806" i="1"/>
  <c r="A806" i="1"/>
  <c r="J806" i="1"/>
  <c r="F807" i="1"/>
  <c r="E807" i="1" s="1"/>
  <c r="B807" i="1"/>
  <c r="A807" i="1"/>
  <c r="C830" i="1"/>
  <c r="A830" i="1"/>
  <c r="J830" i="1"/>
  <c r="F830" i="1"/>
  <c r="E830" i="1" s="1"/>
  <c r="C746" i="1"/>
  <c r="B755" i="1"/>
  <c r="B759" i="1"/>
  <c r="A759" i="1"/>
  <c r="A768" i="1"/>
  <c r="J768" i="1"/>
  <c r="F768" i="1"/>
  <c r="E768" i="1" s="1"/>
  <c r="B819" i="1"/>
  <c r="J826" i="1"/>
  <c r="F826" i="1"/>
  <c r="E826" i="1" s="1"/>
  <c r="C826" i="1"/>
  <c r="A826" i="1"/>
  <c r="F882" i="1"/>
  <c r="E882" i="1" s="1"/>
  <c r="C882" i="1"/>
  <c r="A882" i="1"/>
  <c r="J882" i="1"/>
  <c r="F842" i="1"/>
  <c r="E842" i="1" s="1"/>
  <c r="A842" i="1"/>
  <c r="J848" i="1"/>
  <c r="C848" i="1"/>
  <c r="F866" i="1"/>
  <c r="E866" i="1" s="1"/>
  <c r="C866" i="1"/>
  <c r="A866" i="1"/>
  <c r="F898" i="1"/>
  <c r="E898" i="1" s="1"/>
  <c r="C898" i="1"/>
  <c r="A898" i="1"/>
  <c r="A849" i="1"/>
  <c r="J849" i="1"/>
  <c r="F850" i="1"/>
  <c r="E850" i="1" s="1"/>
  <c r="B850" i="1"/>
  <c r="A850" i="1"/>
  <c r="J853" i="1"/>
  <c r="F853" i="1"/>
  <c r="E853" i="1" s="1"/>
  <c r="C853" i="1"/>
  <c r="B854" i="1"/>
  <c r="J877" i="1"/>
  <c r="F877" i="1"/>
  <c r="E877" i="1" s="1"/>
  <c r="C877" i="1"/>
  <c r="J909" i="1"/>
  <c r="F909" i="1"/>
  <c r="E909" i="1" s="1"/>
  <c r="C909" i="1"/>
  <c r="C956" i="1"/>
  <c r="B956" i="1"/>
  <c r="A956" i="1"/>
  <c r="J956" i="1"/>
  <c r="F956" i="1"/>
  <c r="E956" i="1" s="1"/>
  <c r="A823" i="1"/>
  <c r="A831" i="1"/>
  <c r="B839" i="1"/>
  <c r="F845" i="1"/>
  <c r="E845" i="1" s="1"/>
  <c r="C845" i="1"/>
  <c r="B845" i="1"/>
  <c r="B847" i="1"/>
  <c r="F874" i="1"/>
  <c r="E874" i="1" s="1"/>
  <c r="C874" i="1"/>
  <c r="B874" i="1"/>
  <c r="A874" i="1"/>
  <c r="F906" i="1"/>
  <c r="E906" i="1" s="1"/>
  <c r="C906" i="1"/>
  <c r="B906" i="1"/>
  <c r="A906" i="1"/>
  <c r="B976" i="1"/>
  <c r="A756" i="1"/>
  <c r="A764" i="1"/>
  <c r="A772" i="1"/>
  <c r="A780" i="1"/>
  <c r="F784" i="1"/>
  <c r="E784" i="1" s="1"/>
  <c r="A788" i="1"/>
  <c r="F792" i="1"/>
  <c r="E792" i="1" s="1"/>
  <c r="A796" i="1"/>
  <c r="F800" i="1"/>
  <c r="E800" i="1" s="1"/>
  <c r="A804" i="1"/>
  <c r="F808" i="1"/>
  <c r="E808" i="1" s="1"/>
  <c r="A812" i="1"/>
  <c r="F816" i="1"/>
  <c r="E816" i="1" s="1"/>
  <c r="A820" i="1"/>
  <c r="B823" i="1"/>
  <c r="F824" i="1"/>
  <c r="E824" i="1" s="1"/>
  <c r="A828" i="1"/>
  <c r="B831" i="1"/>
  <c r="F832" i="1"/>
  <c r="E832" i="1" s="1"/>
  <c r="A836" i="1"/>
  <c r="J885" i="1"/>
  <c r="F885" i="1"/>
  <c r="E885" i="1" s="1"/>
  <c r="C885" i="1"/>
  <c r="B924" i="1"/>
  <c r="A924" i="1"/>
  <c r="J924" i="1"/>
  <c r="F924" i="1"/>
  <c r="E924" i="1" s="1"/>
  <c r="C924" i="1"/>
  <c r="F930" i="1"/>
  <c r="E930" i="1" s="1"/>
  <c r="C930" i="1"/>
  <c r="A930" i="1"/>
  <c r="J930" i="1"/>
  <c r="B970" i="1"/>
  <c r="B912" i="1"/>
  <c r="B969" i="1"/>
  <c r="J784" i="1"/>
  <c r="J792" i="1"/>
  <c r="J800" i="1"/>
  <c r="J808" i="1"/>
  <c r="J816" i="1"/>
  <c r="J824" i="1"/>
  <c r="J832" i="1"/>
  <c r="B838" i="1"/>
  <c r="A840" i="1"/>
  <c r="A848" i="1"/>
  <c r="J861" i="1"/>
  <c r="F861" i="1"/>
  <c r="E861" i="1" s="1"/>
  <c r="C861" i="1"/>
  <c r="B888" i="1"/>
  <c r="J893" i="1"/>
  <c r="F893" i="1"/>
  <c r="E893" i="1" s="1"/>
  <c r="C893" i="1"/>
  <c r="B893" i="1"/>
  <c r="C919" i="1"/>
  <c r="J919" i="1"/>
  <c r="F919" i="1"/>
  <c r="E919" i="1" s="1"/>
  <c r="A919" i="1"/>
  <c r="J965" i="1"/>
  <c r="F965" i="1"/>
  <c r="E965" i="1" s="1"/>
  <c r="A965" i="1"/>
  <c r="C965" i="1"/>
  <c r="J841" i="1"/>
  <c r="B848" i="1"/>
  <c r="C849" i="1"/>
  <c r="C857" i="1"/>
  <c r="A857" i="1"/>
  <c r="J857" i="1"/>
  <c r="F858" i="1"/>
  <c r="E858" i="1" s="1"/>
  <c r="B858" i="1"/>
  <c r="A858" i="1"/>
  <c r="F890" i="1"/>
  <c r="E890" i="1" s="1"/>
  <c r="C890" i="1"/>
  <c r="B890" i="1"/>
  <c r="A890" i="1"/>
  <c r="B947" i="1"/>
  <c r="J842" i="1"/>
  <c r="F848" i="1"/>
  <c r="E848" i="1" s="1"/>
  <c r="C850" i="1"/>
  <c r="A853" i="1"/>
  <c r="B864" i="1"/>
  <c r="J866" i="1"/>
  <c r="J869" i="1"/>
  <c r="F869" i="1"/>
  <c r="E869" i="1" s="1"/>
  <c r="C869" i="1"/>
  <c r="B896" i="1"/>
  <c r="J898" i="1"/>
  <c r="J901" i="1"/>
  <c r="F901" i="1"/>
  <c r="E901" i="1" s="1"/>
  <c r="C901" i="1"/>
  <c r="C964" i="1"/>
  <c r="A964" i="1"/>
  <c r="J964" i="1"/>
  <c r="J973" i="1"/>
  <c r="F973" i="1"/>
  <c r="E973" i="1" s="1"/>
  <c r="A973" i="1"/>
  <c r="B977" i="1"/>
  <c r="B984" i="1"/>
  <c r="F846" i="1"/>
  <c r="E846" i="1" s="1"/>
  <c r="F854" i="1"/>
  <c r="E854" i="1" s="1"/>
  <c r="C856" i="1"/>
  <c r="F862" i="1"/>
  <c r="E862" i="1" s="1"/>
  <c r="C864" i="1"/>
  <c r="F870" i="1"/>
  <c r="E870" i="1" s="1"/>
  <c r="C872" i="1"/>
  <c r="F878" i="1"/>
  <c r="E878" i="1" s="1"/>
  <c r="C880" i="1"/>
  <c r="F886" i="1"/>
  <c r="E886" i="1" s="1"/>
  <c r="C888" i="1"/>
  <c r="F894" i="1"/>
  <c r="E894" i="1" s="1"/>
  <c r="C896" i="1"/>
  <c r="F902" i="1"/>
  <c r="E902" i="1" s="1"/>
  <c r="C904" i="1"/>
  <c r="F910" i="1"/>
  <c r="E910" i="1" s="1"/>
  <c r="C912" i="1"/>
  <c r="A914" i="1"/>
  <c r="C923" i="1"/>
  <c r="C972" i="1"/>
  <c r="A972" i="1"/>
  <c r="J972" i="1"/>
  <c r="J981" i="1"/>
  <c r="F981" i="1"/>
  <c r="E981" i="1" s="1"/>
  <c r="A981" i="1"/>
  <c r="B985" i="1"/>
  <c r="B987" i="1"/>
  <c r="B992" i="1"/>
  <c r="J865" i="1"/>
  <c r="J873" i="1"/>
  <c r="J881" i="1"/>
  <c r="J889" i="1"/>
  <c r="J897" i="1"/>
  <c r="J905" i="1"/>
  <c r="J913" i="1"/>
  <c r="B914" i="1"/>
  <c r="C917" i="1"/>
  <c r="C927" i="1"/>
  <c r="B927" i="1"/>
  <c r="C932" i="1"/>
  <c r="A932" i="1"/>
  <c r="J932" i="1"/>
  <c r="J933" i="1"/>
  <c r="F933" i="1"/>
  <c r="E933" i="1" s="1"/>
  <c r="B938" i="1"/>
  <c r="C980" i="1"/>
  <c r="A980" i="1"/>
  <c r="J980" i="1"/>
  <c r="J989" i="1"/>
  <c r="F989" i="1"/>
  <c r="E989" i="1" s="1"/>
  <c r="A989" i="1"/>
  <c r="B993" i="1"/>
  <c r="B1000" i="1"/>
  <c r="B1002" i="1"/>
  <c r="C914" i="1"/>
  <c r="B937" i="1"/>
  <c r="B944" i="1"/>
  <c r="C988" i="1"/>
  <c r="A988" i="1"/>
  <c r="J988" i="1"/>
  <c r="J997" i="1"/>
  <c r="F997" i="1"/>
  <c r="E997" i="1" s="1"/>
  <c r="A997" i="1"/>
  <c r="B1001" i="1"/>
  <c r="B1008" i="1"/>
  <c r="A865" i="1"/>
  <c r="A873" i="1"/>
  <c r="A881" i="1"/>
  <c r="A889" i="1"/>
  <c r="A897" i="1"/>
  <c r="A905" i="1"/>
  <c r="A913" i="1"/>
  <c r="F928" i="1"/>
  <c r="E928" i="1" s="1"/>
  <c r="C928" i="1"/>
  <c r="J941" i="1"/>
  <c r="F941" i="1"/>
  <c r="E941" i="1" s="1"/>
  <c r="A941" i="1"/>
  <c r="B945" i="1"/>
  <c r="B952" i="1"/>
  <c r="C996" i="1"/>
  <c r="A996" i="1"/>
  <c r="J996" i="1"/>
  <c r="J1005" i="1"/>
  <c r="F1005" i="1"/>
  <c r="E1005" i="1" s="1"/>
  <c r="A1005" i="1"/>
  <c r="B1009" i="1"/>
  <c r="J1013" i="1"/>
  <c r="F1013" i="1"/>
  <c r="E1013" i="1" s="1"/>
  <c r="A1013" i="1"/>
  <c r="B865" i="1"/>
  <c r="B873" i="1"/>
  <c r="B905" i="1"/>
  <c r="J917" i="1"/>
  <c r="A920" i="1"/>
  <c r="B922" i="1"/>
  <c r="A925" i="1"/>
  <c r="A927" i="1"/>
  <c r="B929" i="1"/>
  <c r="C940" i="1"/>
  <c r="A940" i="1"/>
  <c r="J940" i="1"/>
  <c r="J949" i="1"/>
  <c r="F949" i="1"/>
  <c r="E949" i="1" s="1"/>
  <c r="A949" i="1"/>
  <c r="B953" i="1"/>
  <c r="B955" i="1"/>
  <c r="B960" i="1"/>
  <c r="B962" i="1"/>
  <c r="C1004" i="1"/>
  <c r="A1004" i="1"/>
  <c r="J1004" i="1"/>
  <c r="C1012" i="1"/>
  <c r="A1012" i="1"/>
  <c r="J1012" i="1"/>
  <c r="C948" i="1"/>
  <c r="A948" i="1"/>
  <c r="J948" i="1"/>
  <c r="J957" i="1"/>
  <c r="F957" i="1"/>
  <c r="E957" i="1" s="1"/>
  <c r="A957" i="1"/>
  <c r="B961" i="1"/>
  <c r="B968" i="1"/>
  <c r="C936" i="1"/>
  <c r="A938" i="1"/>
  <c r="C944" i="1"/>
  <c r="A946" i="1"/>
  <c r="C952" i="1"/>
  <c r="A954" i="1"/>
  <c r="C960" i="1"/>
  <c r="A962" i="1"/>
  <c r="C968" i="1"/>
  <c r="A970" i="1"/>
  <c r="C976" i="1"/>
  <c r="A978" i="1"/>
  <c r="C984" i="1"/>
  <c r="A986" i="1"/>
  <c r="C992" i="1"/>
  <c r="A994" i="1"/>
  <c r="C1000" i="1"/>
  <c r="A1002" i="1"/>
  <c r="C1008" i="1"/>
  <c r="A1010" i="1"/>
  <c r="F1014" i="1"/>
  <c r="E1014" i="1" s="1"/>
  <c r="B935" i="1"/>
  <c r="F936" i="1"/>
  <c r="E936" i="1" s="1"/>
  <c r="C938" i="1"/>
  <c r="B943" i="1"/>
  <c r="F944" i="1"/>
  <c r="E944" i="1" s="1"/>
  <c r="C946" i="1"/>
  <c r="B951" i="1"/>
  <c r="F952" i="1"/>
  <c r="E952" i="1" s="1"/>
  <c r="C954" i="1"/>
  <c r="B959" i="1"/>
  <c r="F960" i="1"/>
  <c r="E960" i="1" s="1"/>
  <c r="C962" i="1"/>
  <c r="B967" i="1"/>
  <c r="F968" i="1"/>
  <c r="E968" i="1" s="1"/>
  <c r="C970" i="1"/>
  <c r="B975" i="1"/>
  <c r="F976" i="1"/>
  <c r="E976" i="1" s="1"/>
  <c r="C978" i="1"/>
  <c r="B983" i="1"/>
  <c r="F984" i="1"/>
  <c r="E984" i="1" s="1"/>
  <c r="C986" i="1"/>
  <c r="B991" i="1"/>
  <c r="F992" i="1"/>
  <c r="E992" i="1" s="1"/>
  <c r="C994" i="1"/>
  <c r="B999" i="1"/>
  <c r="F1000" i="1"/>
  <c r="E1000" i="1" s="1"/>
  <c r="C1002" i="1"/>
  <c r="B1007" i="1"/>
  <c r="F1008" i="1"/>
  <c r="E1008" i="1" s="1"/>
  <c r="C1010" i="1"/>
  <c r="J1011" i="1"/>
  <c r="B1012" i="1" l="1"/>
  <c r="B913" i="1"/>
  <c r="B782" i="1"/>
  <c r="B611" i="1"/>
  <c r="B543" i="1"/>
  <c r="B512" i="1"/>
  <c r="B534" i="1"/>
  <c r="B449" i="1"/>
  <c r="B388" i="1"/>
  <c r="B183" i="1"/>
  <c r="B135" i="1"/>
  <c r="B79" i="1"/>
  <c r="B88" i="1"/>
  <c r="B988" i="1"/>
  <c r="B909" i="1"/>
  <c r="B806" i="1"/>
  <c r="B814" i="1"/>
  <c r="B700" i="1"/>
  <c r="B583" i="1"/>
  <c r="B607" i="1"/>
  <c r="B260" i="1"/>
  <c r="B215" i="1"/>
  <c r="B115" i="1"/>
  <c r="B48" i="1"/>
  <c r="B155" i="1"/>
  <c r="B147" i="1"/>
  <c r="B60" i="1"/>
  <c r="B826" i="1"/>
  <c r="B567" i="1"/>
  <c r="B566" i="1"/>
  <c r="B508" i="1"/>
  <c r="B460" i="1"/>
  <c r="B401" i="1"/>
  <c r="B369" i="1"/>
  <c r="B316" i="1"/>
  <c r="B80" i="1"/>
  <c r="B842" i="1"/>
  <c r="B677" i="1"/>
  <c r="B486" i="1"/>
  <c r="B430" i="1"/>
  <c r="B436" i="1"/>
  <c r="B297" i="1"/>
  <c r="B167" i="1"/>
  <c r="B195" i="1"/>
  <c r="B131" i="1"/>
  <c r="B1013" i="1"/>
  <c r="B933" i="1"/>
  <c r="B645" i="1"/>
  <c r="B696" i="1"/>
  <c r="B712" i="1"/>
  <c r="B629" i="1"/>
  <c r="B406" i="1"/>
  <c r="B500" i="1"/>
  <c r="B292" i="1"/>
  <c r="B103" i="1"/>
  <c r="B989" i="1"/>
  <c r="B857" i="1"/>
  <c r="B794" i="1"/>
  <c r="B740" i="1"/>
  <c r="B522" i="1"/>
  <c r="B428" i="1"/>
  <c r="B257" i="1"/>
  <c r="H5" i="1"/>
  <c r="B808" i="1"/>
  <c r="B732" i="1"/>
  <c r="B699" i="1"/>
  <c r="B663" i="1"/>
  <c r="B647" i="1"/>
  <c r="B631" i="1"/>
  <c r="B615" i="1"/>
  <c r="B491" i="1"/>
  <c r="B459" i="1"/>
  <c r="B374" i="1"/>
  <c r="B334" i="1"/>
  <c r="B318" i="1"/>
  <c r="B302" i="1"/>
  <c r="B286" i="1"/>
  <c r="B232" i="1"/>
  <c r="B144" i="1"/>
  <c r="B120" i="1"/>
  <c r="E13" i="1" a="1"/>
  <c r="E13" i="1" s="1"/>
  <c r="B1005" i="1"/>
  <c r="B965" i="1"/>
  <c r="B800" i="1"/>
  <c r="B758" i="1"/>
  <c r="B731" i="1"/>
  <c r="B715" i="1"/>
  <c r="B692" i="1"/>
  <c r="B420" i="1"/>
  <c r="B422" i="1"/>
  <c r="B385" i="1"/>
  <c r="B223" i="1"/>
  <c r="B211" i="1"/>
  <c r="B179" i="1"/>
  <c r="B84" i="1"/>
  <c r="B20" i="1"/>
  <c r="F13" i="1" a="1"/>
  <c r="F13" i="1" s="1"/>
  <c r="B940" i="1"/>
  <c r="B792" i="1"/>
  <c r="B930" i="1"/>
  <c r="B830" i="1"/>
  <c r="B768" i="1"/>
  <c r="B691" i="1"/>
  <c r="B623" i="1"/>
  <c r="B667" i="1"/>
  <c r="B651" i="1"/>
  <c r="B635" i="1"/>
  <c r="B603" i="1"/>
  <c r="B483" i="1"/>
  <c r="B451" i="1"/>
  <c r="B613" i="1"/>
  <c r="B494" i="1"/>
  <c r="B478" i="1"/>
  <c r="B358" i="1"/>
  <c r="B345" i="1"/>
  <c r="B313" i="1"/>
  <c r="B281" i="1"/>
  <c r="B268" i="1"/>
  <c r="B160" i="1"/>
  <c r="E10" i="1"/>
  <c r="A13" i="1" a="1"/>
  <c r="A13" i="1" s="1"/>
  <c r="B784" i="1"/>
  <c r="B866" i="1"/>
  <c r="B683" i="1"/>
  <c r="B594" i="1"/>
  <c r="B578" i="1"/>
  <c r="B562" i="1"/>
  <c r="B546" i="1"/>
  <c r="B530" i="1"/>
  <c r="B443" i="1"/>
  <c r="B452" i="1"/>
  <c r="B382" i="1"/>
  <c r="B372" i="1"/>
  <c r="B242" i="1"/>
  <c r="B396" i="1"/>
  <c r="B208" i="1"/>
  <c r="B192" i="1"/>
  <c r="B176" i="1"/>
  <c r="B136" i="1"/>
  <c r="C13" i="1" a="1"/>
  <c r="C13" i="1" s="1"/>
  <c r="B100" i="1"/>
  <c r="B36" i="1"/>
  <c r="B948" i="1"/>
  <c r="B1004" i="1"/>
  <c r="B972" i="1"/>
  <c r="B964" i="1"/>
  <c r="B869" i="1"/>
  <c r="B885" i="1"/>
  <c r="B853" i="1"/>
  <c r="B790" i="1"/>
  <c r="B754" i="1"/>
  <c r="B762" i="1"/>
  <c r="B834" i="1"/>
  <c r="B739" i="1"/>
  <c r="B669" i="1"/>
  <c r="B671" i="1"/>
  <c r="B655" i="1"/>
  <c r="B639" i="1"/>
  <c r="B724" i="1"/>
  <c r="B704" i="1"/>
  <c r="B609" i="1"/>
  <c r="B507" i="1"/>
  <c r="B475" i="1"/>
  <c r="B435" i="1"/>
  <c r="B484" i="1"/>
  <c r="B419" i="1"/>
  <c r="B446" i="1"/>
  <c r="B342" i="1"/>
  <c r="B326" i="1"/>
  <c r="B310" i="1"/>
  <c r="B294" i="1"/>
  <c r="B278" i="1"/>
  <c r="B348" i="1"/>
  <c r="B284" i="1"/>
  <c r="B380" i="1"/>
  <c r="B151" i="1"/>
  <c r="B95" i="1"/>
  <c r="B63" i="1"/>
  <c r="B31" i="1"/>
  <c r="B127" i="1"/>
  <c r="B104" i="1"/>
  <c r="B40" i="1"/>
  <c r="B76" i="1"/>
  <c r="B949" i="1"/>
  <c r="B897" i="1"/>
  <c r="B941" i="1"/>
  <c r="B980" i="1"/>
  <c r="B932" i="1"/>
  <c r="B919" i="1"/>
  <c r="B832" i="1"/>
  <c r="B849" i="1"/>
  <c r="B882" i="1"/>
  <c r="B822" i="1"/>
  <c r="B736" i="1"/>
  <c r="B776" i="1"/>
  <c r="B810" i="1"/>
  <c r="B778" i="1"/>
  <c r="B723" i="1"/>
  <c r="B707" i="1"/>
  <c r="B708" i="1"/>
  <c r="B716" i="1"/>
  <c r="B661" i="1"/>
  <c r="B627" i="1"/>
  <c r="B551" i="1"/>
  <c r="B621" i="1"/>
  <c r="B684" i="1"/>
  <c r="B550" i="1"/>
  <c r="B427" i="1"/>
  <c r="B462" i="1"/>
  <c r="B425" i="1"/>
  <c r="B393" i="1"/>
  <c r="B366" i="1"/>
  <c r="B353" i="1"/>
  <c r="B340" i="1"/>
  <c r="B276" i="1"/>
  <c r="B175" i="1"/>
  <c r="B219" i="1"/>
  <c r="B203" i="1"/>
  <c r="B187" i="1"/>
  <c r="B171" i="1"/>
  <c r="B152" i="1"/>
  <c r="B159" i="1"/>
  <c r="B52" i="1"/>
  <c r="B1011" i="1"/>
  <c r="B889" i="1"/>
  <c r="B996" i="1"/>
  <c r="B997" i="1"/>
  <c r="B901" i="1"/>
  <c r="B841" i="1"/>
  <c r="B861" i="1"/>
  <c r="B824" i="1"/>
  <c r="B877" i="1"/>
  <c r="B786" i="1"/>
  <c r="B770" i="1"/>
  <c r="B686" i="1"/>
  <c r="B689" i="1"/>
  <c r="B675" i="1"/>
  <c r="B659" i="1"/>
  <c r="B643" i="1"/>
  <c r="B575" i="1"/>
  <c r="B605" i="1"/>
  <c r="B499" i="1"/>
  <c r="B467" i="1"/>
  <c r="B542" i="1"/>
  <c r="B526" i="1"/>
  <c r="B582" i="1"/>
  <c r="B558" i="1"/>
  <c r="B468" i="1"/>
  <c r="B492" i="1"/>
  <c r="B398" i="1"/>
  <c r="B476" i="1"/>
  <c r="B414" i="1"/>
  <c r="B390" i="1"/>
  <c r="B377" i="1"/>
  <c r="B337" i="1"/>
  <c r="B321" i="1"/>
  <c r="B305" i="1"/>
  <c r="B289" i="1"/>
  <c r="B270" i="1"/>
  <c r="B332" i="1"/>
  <c r="B273" i="1"/>
  <c r="B356" i="1"/>
  <c r="B364" i="1"/>
  <c r="B235" i="1"/>
  <c r="B128" i="1"/>
  <c r="B64" i="1"/>
  <c r="B139" i="1"/>
  <c r="B114" i="1"/>
  <c r="B92" i="1"/>
  <c r="B28" i="1"/>
  <c r="B957" i="1"/>
  <c r="B881" i="1"/>
  <c r="B981" i="1"/>
  <c r="B917" i="1"/>
  <c r="B973" i="1"/>
  <c r="B816" i="1"/>
  <c r="B898" i="1"/>
  <c r="B818" i="1"/>
  <c r="B766" i="1"/>
  <c r="B774" i="1"/>
  <c r="B685" i="1"/>
  <c r="B619" i="1"/>
  <c r="B586" i="1"/>
  <c r="B570" i="1"/>
  <c r="B554" i="1"/>
  <c r="B538" i="1"/>
  <c r="B590" i="1"/>
  <c r="B441" i="1"/>
  <c r="B470" i="1"/>
  <c r="B454" i="1"/>
  <c r="B410" i="1"/>
  <c r="B502" i="1"/>
  <c r="B350" i="1"/>
  <c r="B262" i="1"/>
  <c r="B248" i="1"/>
  <c r="B324" i="1"/>
  <c r="B199" i="1"/>
  <c r="B216" i="1"/>
  <c r="B200" i="1"/>
  <c r="B184" i="1"/>
  <c r="B168" i="1"/>
  <c r="B123" i="1"/>
  <c r="B68" i="1"/>
  <c r="B4" i="1" l="1"/>
  <c r="E3" i="1"/>
  <c r="E5" i="1" s="1"/>
  <c r="D3" i="1"/>
  <c r="D5" i="1" s="1"/>
  <c r="I13" i="1" a="1"/>
  <c r="I13" i="1" s="1"/>
  <c r="B13" i="1" a="1"/>
  <c r="B13" i="1" s="1"/>
  <c r="C4" i="1"/>
  <c r="B3" i="1"/>
  <c r="B5" i="1" s="1"/>
  <c r="C3" i="1"/>
  <c r="C5" i="1" l="1"/>
  <c r="F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user</author>
  </authors>
  <commentList>
    <comment ref="AB1" authorId="0" shapeId="0" xr:uid="{1E4F1327-DE0C-4199-8BA7-0041497E0706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11" authorId="1" shapeId="0" xr:uid="{B9E32052-AB38-44B0-8145-3777FB2F990C}">
      <text>
        <r>
          <rPr>
            <b/>
            <sz val="16"/>
            <color indexed="81"/>
            <rFont val="돋움"/>
            <family val="3"/>
            <charset val="129"/>
          </rPr>
          <t>조건부서식</t>
        </r>
        <r>
          <rPr>
            <b/>
            <sz val="16"/>
            <color indexed="81"/>
            <rFont val="Tahoma"/>
            <family val="2"/>
          </rPr>
          <t xml:space="preserve">: </t>
        </r>
        <r>
          <rPr>
            <b/>
            <sz val="16"/>
            <color indexed="81"/>
            <rFont val="돋움"/>
            <family val="3"/>
            <charset val="129"/>
          </rPr>
          <t>규칙</t>
        </r>
        <r>
          <rPr>
            <b/>
            <sz val="16"/>
            <color indexed="81"/>
            <rFont val="Tahoma"/>
            <family val="2"/>
          </rPr>
          <t xml:space="preserve"> 1</t>
        </r>
        <r>
          <rPr>
            <b/>
            <sz val="16"/>
            <color indexed="81"/>
            <rFont val="돋움"/>
            <family val="3"/>
            <charset val="129"/>
          </rPr>
          <t>지역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기준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적용중</t>
        </r>
      </text>
    </comment>
    <comment ref="D16" authorId="1" shapeId="0" xr:uid="{2F12EAA4-7B56-4E37-9373-10E11401DD37}">
      <text>
        <r>
          <rPr>
            <b/>
            <sz val="14"/>
            <color indexed="81"/>
            <rFont val="돋움"/>
            <family val="3"/>
            <charset val="129"/>
          </rPr>
          <t>오늘날짜입력</t>
        </r>
        <r>
          <rPr>
            <b/>
            <sz val="14"/>
            <color indexed="81"/>
            <rFont val="Tahoma"/>
            <family val="2"/>
          </rPr>
          <t xml:space="preserve">: Ctrl + ;
</t>
        </r>
        <r>
          <rPr>
            <b/>
            <sz val="14"/>
            <color indexed="81"/>
            <rFont val="돋움"/>
            <family val="3"/>
            <charset val="129"/>
          </rPr>
          <t>다중입력</t>
        </r>
        <r>
          <rPr>
            <b/>
            <sz val="14"/>
            <color indexed="81"/>
            <rFont val="Tahoma"/>
            <family val="2"/>
          </rPr>
          <t xml:space="preserve">: </t>
        </r>
        <r>
          <rPr>
            <b/>
            <sz val="14"/>
            <color indexed="81"/>
            <rFont val="돋움"/>
            <family val="3"/>
            <charset val="129"/>
          </rPr>
          <t>드래그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Ctrl+</t>
        </r>
        <r>
          <rPr>
            <b/>
            <sz val="14"/>
            <color indexed="81"/>
            <rFont val="돋움"/>
            <family val="3"/>
            <charset val="129"/>
          </rPr>
          <t>엔터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<sst xmlns="http://schemas.openxmlformats.org/spreadsheetml/2006/main" count="77" uniqueCount="68">
  <si>
    <t>[채취현황]</t>
    <phoneticPr fontId="3" type="noConversion"/>
  </si>
  <si>
    <t>분석수</t>
    <phoneticPr fontId="3" type="noConversion"/>
  </si>
  <si>
    <t>1지역</t>
    <phoneticPr fontId="3" type="noConversion"/>
  </si>
  <si>
    <t>대책기준</t>
    <phoneticPr fontId="3" type="noConversion"/>
  </si>
  <si>
    <t>조사구분</t>
    <phoneticPr fontId="3" type="noConversion"/>
  </si>
  <si>
    <t>지점</t>
    <phoneticPr fontId="3" type="noConversion"/>
  </si>
  <si>
    <t>(A)시료</t>
    <phoneticPr fontId="3" type="noConversion"/>
  </si>
  <si>
    <t>(B)QAQC</t>
    <phoneticPr fontId="3" type="noConversion"/>
  </si>
  <si>
    <t>(C)EB,FB,TB</t>
    <phoneticPr fontId="3" type="noConversion"/>
  </si>
  <si>
    <t>TPH_BTEX</t>
    <phoneticPr fontId="3" type="noConversion"/>
  </si>
  <si>
    <t>우려기준</t>
    <phoneticPr fontId="3" type="noConversion"/>
  </si>
  <si>
    <t>개황</t>
    <phoneticPr fontId="3" type="noConversion"/>
  </si>
  <si>
    <t>중금속8종</t>
    <phoneticPr fontId="3" type="noConversion"/>
  </si>
  <si>
    <t>우려 40% 또는 70%</t>
    <phoneticPr fontId="3" type="noConversion"/>
  </si>
  <si>
    <t>상세</t>
    <phoneticPr fontId="3" type="noConversion"/>
  </si>
  <si>
    <t>그외</t>
    <phoneticPr fontId="3" type="noConversion"/>
  </si>
  <si>
    <t>2지역</t>
    <phoneticPr fontId="3" type="noConversion"/>
  </si>
  <si>
    <t>합계</t>
    <phoneticPr fontId="3" type="noConversion"/>
  </si>
  <si>
    <t>전체항목</t>
    <phoneticPr fontId="3" type="noConversion"/>
  </si>
  <si>
    <t>※ 조사구분으로 A, B, FB, QC 등으로 구분되어 카운트</t>
    <phoneticPr fontId="3" type="noConversion"/>
  </si>
  <si>
    <t>표기법</t>
    <phoneticPr fontId="3" type="noConversion"/>
  </si>
  <si>
    <t>지점명</t>
    <phoneticPr fontId="3" type="noConversion"/>
  </si>
  <si>
    <t>시료명</t>
    <phoneticPr fontId="3" type="noConversion"/>
  </si>
  <si>
    <t>(QA/QC)+시료명</t>
    <phoneticPr fontId="3" type="noConversion"/>
  </si>
  <si>
    <t>FB20260000</t>
    <phoneticPr fontId="3" type="noConversion"/>
  </si>
  <si>
    <t>3지역</t>
    <phoneticPr fontId="3" type="noConversion"/>
  </si>
  <si>
    <t>날짜복사해서사용</t>
    <phoneticPr fontId="3" type="noConversion"/>
  </si>
  <si>
    <t>지점수</t>
    <phoneticPr fontId="3" type="noConversion"/>
  </si>
  <si>
    <t>시료수</t>
    <phoneticPr fontId="3" type="noConversion"/>
  </si>
  <si>
    <t>최고농도(mg/kg)</t>
    <phoneticPr fontId="3" type="noConversion"/>
  </si>
  <si>
    <t>[분석결과입력창]</t>
    <phoneticPr fontId="3" type="noConversion"/>
  </si>
  <si>
    <t>[시료채취 및 분석 현황]</t>
    <phoneticPr fontId="3" type="noConversion"/>
  </si>
  <si>
    <t>NO</t>
    <phoneticPr fontId="13" type="noConversion"/>
  </si>
  <si>
    <r>
      <t xml:space="preserve">조사구분
</t>
    </r>
    <r>
      <rPr>
        <b/>
        <sz val="8"/>
        <rFont val="맑은 고딕"/>
        <family val="3"/>
        <charset val="129"/>
        <scheme val="minor"/>
      </rPr>
      <t>(개황/정밀)</t>
    </r>
    <phoneticPr fontId="3" type="noConversion"/>
  </si>
  <si>
    <t>조사
구역</t>
    <phoneticPr fontId="3" type="noConversion"/>
  </si>
  <si>
    <t>시료채취일</t>
    <phoneticPr fontId="3" type="noConversion"/>
  </si>
  <si>
    <t>시료구분
(최초/추가)</t>
    <phoneticPr fontId="3" type="noConversion"/>
  </si>
  <si>
    <t>시료
번호</t>
    <phoneticPr fontId="3" type="noConversion"/>
  </si>
  <si>
    <t>깊이
(m)</t>
    <phoneticPr fontId="3" type="noConversion"/>
  </si>
  <si>
    <t>지목</t>
    <phoneticPr fontId="3" type="noConversion"/>
  </si>
  <si>
    <t>지역구분
(1/2/3)</t>
    <phoneticPr fontId="3" type="noConversion"/>
  </si>
  <si>
    <t>시 료 명</t>
    <phoneticPr fontId="13" type="noConversion"/>
  </si>
  <si>
    <t>Cd
(mg/kg)</t>
    <phoneticPr fontId="13" type="noConversion"/>
  </si>
  <si>
    <t>Cu
(mg/kg)</t>
    <phoneticPr fontId="13" type="noConversion"/>
  </si>
  <si>
    <t>As
(mg/kg)</t>
    <phoneticPr fontId="13" type="noConversion"/>
  </si>
  <si>
    <t>Hg
(mg/kg)</t>
    <phoneticPr fontId="13" type="noConversion"/>
  </si>
  <si>
    <t>Pb
(mg/kg)</t>
    <phoneticPr fontId="13" type="noConversion"/>
  </si>
  <si>
    <r>
      <t>Cr</t>
    </r>
    <r>
      <rPr>
        <b/>
        <vertAlign val="superscript"/>
        <sz val="11"/>
        <rFont val="맑은 고딕"/>
        <family val="3"/>
        <charset val="129"/>
        <scheme val="minor"/>
      </rPr>
      <t>6+</t>
    </r>
    <r>
      <rPr>
        <b/>
        <sz val="11"/>
        <rFont val="맑은 고딕"/>
        <family val="3"/>
        <charset val="129"/>
        <scheme val="minor"/>
      </rPr>
      <t xml:space="preserve">
(mg/kg)</t>
    </r>
    <phoneticPr fontId="13" type="noConversion"/>
  </si>
  <si>
    <t>Zn
(mg/kg)</t>
    <phoneticPr fontId="13" type="noConversion"/>
  </si>
  <si>
    <t>Ni
(mg/kg)</t>
    <phoneticPr fontId="13" type="noConversion"/>
  </si>
  <si>
    <t>F
(mg/kg)</t>
    <phoneticPr fontId="13" type="noConversion"/>
  </si>
  <si>
    <t>유기인화합물
(mg/kg)</t>
    <phoneticPr fontId="13" type="noConversion"/>
  </si>
  <si>
    <t>PCBs
(mg/kg)</t>
    <phoneticPr fontId="13" type="noConversion"/>
  </si>
  <si>
    <t>CN
(mg/kg)</t>
    <phoneticPr fontId="13" type="noConversion"/>
  </si>
  <si>
    <t>Phenol
(mg/kg)</t>
    <phoneticPr fontId="13" type="noConversion"/>
  </si>
  <si>
    <t>Benzene
(mg/kg)</t>
    <phoneticPr fontId="13" type="noConversion"/>
  </si>
  <si>
    <t>Toluene
(mg/kg)</t>
    <phoneticPr fontId="13" type="noConversion"/>
  </si>
  <si>
    <t>Ethylbenzene
(mg/kg)</t>
    <phoneticPr fontId="13" type="noConversion"/>
  </si>
  <si>
    <t>Xylene
(mg/kg)</t>
    <phoneticPr fontId="13" type="noConversion"/>
  </si>
  <si>
    <t>TPH 
(mg/kg)</t>
    <phoneticPr fontId="13" type="noConversion"/>
  </si>
  <si>
    <t>TCE 
(mg/kg)</t>
    <phoneticPr fontId="13" type="noConversion"/>
  </si>
  <si>
    <t>PCE
(mg/kg)</t>
    <phoneticPr fontId="13" type="noConversion"/>
  </si>
  <si>
    <t>1,2DCA
(mg/kg)</t>
    <phoneticPr fontId="3" type="noConversion"/>
  </si>
  <si>
    <t>BaP
(mg/kg)</t>
    <phoneticPr fontId="3" type="noConversion"/>
  </si>
  <si>
    <t>Dioxin(pg-TEQ/g)</t>
    <phoneticPr fontId="3" type="noConversion"/>
  </si>
  <si>
    <t>pH</t>
    <phoneticPr fontId="3" type="noConversion"/>
  </si>
  <si>
    <t>0-0.15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</si>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</sst>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yyyy\.m\.d"/>
    <numFmt numFmtId="177" formatCode="_-* #,##0.00_-;\-* #,##0.00_-;_-* &quot;-&quot;_-;_-@_-"/>
    <numFmt numFmtId="178" formatCode="_-* #,##0.0_-;\-* #,##0.0_-;_-* &quot;-&quot;_-;_-@_-"/>
    <numFmt numFmtId="179" formatCode="_-* #,##0.000_-;\-* #,##0.000_-;_-* &quot;-&quot;_-;_-@_-"/>
    <numFmt numFmtId="180" formatCode="#,##0.000_);[Red]\(#,##0.000\)"/>
    <numFmt numFmtId="181" formatCode="0.0"/>
    <numFmt numFmtId="182" formatCode="0.000_);[Red]\(0.000\)"/>
    <numFmt numFmtId="183" formatCode="0.00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vertAlign val="superscript"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6"/>
      <color indexed="81"/>
      <name val="돋움"/>
      <family val="3"/>
      <charset val="129"/>
    </font>
    <font>
      <b/>
      <sz val="16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</cellStyleXfs>
  <cellXfs count="84">
    <xf numFmtId="0" fontId="0" fillId="0" borderId="0" xfId="0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1" fontId="8" fillId="0" borderId="0" xfId="1" applyFont="1" applyAlignment="1" applyProtection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2" fillId="0" borderId="6" xfId="1" applyNumberFormat="1" applyFont="1" applyFill="1" applyBorder="1" applyAlignment="1" applyProtection="1">
      <alignment horizontal="center" vertical="center"/>
    </xf>
    <xf numFmtId="178" fontId="2" fillId="0" borderId="6" xfId="1" applyNumberFormat="1" applyFont="1" applyFill="1" applyBorder="1" applyAlignment="1" applyProtection="1">
      <alignment horizontal="center" vertical="center"/>
    </xf>
    <xf numFmtId="41" fontId="2" fillId="0" borderId="6" xfId="1" applyFont="1" applyFill="1" applyBorder="1" applyAlignment="1" applyProtection="1">
      <alignment horizontal="center" vertical="center"/>
    </xf>
    <xf numFmtId="179" fontId="2" fillId="0" borderId="6" xfId="1" applyNumberFormat="1" applyFont="1" applyFill="1" applyBorder="1" applyAlignment="1" applyProtection="1">
      <alignment horizontal="center" vertical="center"/>
    </xf>
    <xf numFmtId="0" fontId="7" fillId="0" borderId="0" xfId="0" applyFont="1" applyProtection="1">
      <alignment vertical="center"/>
      <protection locked="0"/>
    </xf>
    <xf numFmtId="0" fontId="12" fillId="8" borderId="13" xfId="2" applyFont="1" applyFill="1" applyBorder="1" applyAlignment="1">
      <alignment horizontal="center" vertical="center"/>
    </xf>
    <xf numFmtId="0" fontId="16" fillId="9" borderId="23" xfId="2" applyFont="1" applyFill="1" applyBorder="1" applyAlignment="1">
      <alignment horizontal="center" vertical="center"/>
    </xf>
    <xf numFmtId="0" fontId="16" fillId="9" borderId="24" xfId="2" applyFont="1" applyFill="1" applyBorder="1" applyAlignment="1">
      <alignment horizontal="center" vertical="center"/>
    </xf>
    <xf numFmtId="176" fontId="16" fillId="9" borderId="24" xfId="2" applyNumberFormat="1" applyFont="1" applyFill="1" applyBorder="1" applyAlignment="1" applyProtection="1">
      <alignment horizontal="center" vertical="center"/>
      <protection locked="0"/>
    </xf>
    <xf numFmtId="0" fontId="16" fillId="9" borderId="24" xfId="2" applyFont="1" applyFill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2" fontId="17" fillId="0" borderId="25" xfId="2" applyNumberFormat="1" applyFont="1" applyBorder="1" applyAlignment="1">
      <alignment horizontal="center" vertical="center"/>
    </xf>
    <xf numFmtId="0" fontId="17" fillId="0" borderId="25" xfId="2" applyFont="1" applyBorder="1" applyAlignment="1" applyProtection="1">
      <alignment horizontal="center" vertical="center"/>
      <protection locked="0"/>
    </xf>
    <xf numFmtId="0" fontId="18" fillId="0" borderId="0" xfId="0" applyFont="1" applyProtection="1">
      <alignment vertical="center"/>
      <protection locked="0"/>
    </xf>
    <xf numFmtId="181" fontId="17" fillId="0" borderId="25" xfId="2" applyNumberFormat="1" applyFont="1" applyBorder="1" applyAlignment="1" applyProtection="1">
      <alignment horizontal="center" vertical="center"/>
      <protection locked="0"/>
    </xf>
    <xf numFmtId="2" fontId="17" fillId="0" borderId="25" xfId="2" applyNumberFormat="1" applyFont="1" applyBorder="1" applyAlignment="1" applyProtection="1">
      <alignment horizontal="center" vertical="center"/>
      <protection locked="0"/>
    </xf>
    <xf numFmtId="183" fontId="17" fillId="0" borderId="25" xfId="2" applyNumberFormat="1" applyFont="1" applyBorder="1" applyAlignment="1" applyProtection="1">
      <alignment horizontal="center" vertical="center"/>
      <protection locked="0"/>
    </xf>
    <xf numFmtId="2" fontId="7" fillId="0" borderId="0" xfId="0" applyNumberFormat="1" applyFont="1" applyProtection="1">
      <alignment vertical="center"/>
      <protection locked="0"/>
    </xf>
    <xf numFmtId="181" fontId="7" fillId="0" borderId="0" xfId="0" applyNumberFormat="1" applyFont="1" applyProtection="1">
      <alignment vertical="center"/>
      <protection locked="0"/>
    </xf>
    <xf numFmtId="183" fontId="7" fillId="0" borderId="0" xfId="0" applyNumberFormat="1" applyFont="1" applyProtection="1">
      <alignment vertical="center"/>
      <protection locked="0"/>
    </xf>
    <xf numFmtId="180" fontId="8" fillId="11" borderId="15" xfId="2" applyNumberFormat="1" applyFont="1" applyFill="1" applyBorder="1" applyAlignment="1">
      <alignment horizontal="center" vertical="center" wrapText="1"/>
    </xf>
    <xf numFmtId="180" fontId="8" fillId="11" borderId="19" xfId="2" applyNumberFormat="1" applyFont="1" applyFill="1" applyBorder="1" applyAlignment="1">
      <alignment horizontal="center" vertical="center" wrapText="1"/>
    </xf>
    <xf numFmtId="0" fontId="8" fillId="9" borderId="17" xfId="2" applyFont="1" applyFill="1" applyBorder="1" applyAlignment="1">
      <alignment horizontal="center" vertical="center" wrapText="1"/>
    </xf>
    <xf numFmtId="0" fontId="8" fillId="9" borderId="22" xfId="2" applyFont="1" applyFill="1" applyBorder="1" applyAlignment="1">
      <alignment horizontal="center" vertical="center" wrapText="1"/>
    </xf>
    <xf numFmtId="182" fontId="8" fillId="12" borderId="15" xfId="2" applyNumberFormat="1" applyFont="1" applyFill="1" applyBorder="1" applyAlignment="1">
      <alignment horizontal="center" vertical="center" wrapText="1"/>
    </xf>
    <xf numFmtId="182" fontId="8" fillId="12" borderId="19" xfId="2" applyNumberFormat="1" applyFont="1" applyFill="1" applyBorder="1" applyAlignment="1">
      <alignment horizontal="center" vertical="center"/>
    </xf>
    <xf numFmtId="180" fontId="8" fillId="12" borderId="16" xfId="2" applyNumberFormat="1" applyFont="1" applyFill="1" applyBorder="1" applyAlignment="1">
      <alignment horizontal="center" vertical="center" wrapText="1"/>
    </xf>
    <xf numFmtId="180" fontId="8" fillId="12" borderId="20" xfId="2" applyNumberFormat="1" applyFont="1" applyFill="1" applyBorder="1" applyAlignment="1">
      <alignment horizontal="center" vertical="center"/>
    </xf>
    <xf numFmtId="180" fontId="8" fillId="11" borderId="16" xfId="2" applyNumberFormat="1" applyFont="1" applyFill="1" applyBorder="1" applyAlignment="1">
      <alignment horizontal="center" vertical="center" wrapText="1"/>
    </xf>
    <xf numFmtId="180" fontId="8" fillId="11" borderId="20" xfId="2" applyNumberFormat="1" applyFont="1" applyFill="1" applyBorder="1" applyAlignment="1">
      <alignment horizontal="center" vertical="center"/>
    </xf>
    <xf numFmtId="180" fontId="8" fillId="10" borderId="16" xfId="2" applyNumberFormat="1" applyFont="1" applyFill="1" applyBorder="1" applyAlignment="1">
      <alignment horizontal="center" vertical="center" wrapText="1"/>
    </xf>
    <xf numFmtId="180" fontId="8" fillId="10" borderId="20" xfId="2" applyNumberFormat="1" applyFont="1" applyFill="1" applyBorder="1" applyAlignment="1">
      <alignment horizontal="center" vertical="center"/>
    </xf>
    <xf numFmtId="181" fontId="8" fillId="10" borderId="16" xfId="2" applyNumberFormat="1" applyFont="1" applyFill="1" applyBorder="1" applyAlignment="1">
      <alignment horizontal="center" vertical="center" wrapText="1"/>
    </xf>
    <xf numFmtId="181" fontId="8" fillId="10" borderId="20" xfId="2" applyNumberFormat="1" applyFont="1" applyFill="1" applyBorder="1" applyAlignment="1">
      <alignment horizontal="center" vertical="center"/>
    </xf>
    <xf numFmtId="180" fontId="14" fillId="11" borderId="16" xfId="2" applyNumberFormat="1" applyFont="1" applyFill="1" applyBorder="1" applyAlignment="1">
      <alignment horizontal="center" vertical="center" wrapText="1"/>
    </xf>
    <xf numFmtId="180" fontId="14" fillId="11" borderId="20" xfId="2" applyNumberFormat="1" applyFont="1" applyFill="1" applyBorder="1" applyAlignment="1">
      <alignment horizontal="center" vertical="center"/>
    </xf>
    <xf numFmtId="180" fontId="8" fillId="11" borderId="21" xfId="2" applyNumberFormat="1" applyFont="1" applyFill="1" applyBorder="1" applyAlignment="1">
      <alignment horizontal="center" vertical="center" wrapText="1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1" xfId="2" applyFont="1" applyBorder="1" applyAlignment="1" applyProtection="1">
      <alignment horizontal="center" vertical="center"/>
      <protection locked="0"/>
    </xf>
    <xf numFmtId="0" fontId="11" fillId="0" borderId="12" xfId="2" applyFont="1" applyBorder="1" applyAlignment="1" applyProtection="1">
      <alignment horizontal="center" vertical="center"/>
      <protection locked="0"/>
    </xf>
    <xf numFmtId="0" fontId="8" fillId="9" borderId="14" xfId="2" applyFont="1" applyFill="1" applyBorder="1" applyAlignment="1">
      <alignment horizontal="center" vertical="center"/>
    </xf>
    <xf numFmtId="0" fontId="8" fillId="9" borderId="18" xfId="2" applyFont="1" applyFill="1" applyBorder="1" applyAlignment="1">
      <alignment horizontal="center" vertical="center"/>
    </xf>
    <xf numFmtId="0" fontId="8" fillId="9" borderId="15" xfId="2" applyFont="1" applyFill="1" applyBorder="1" applyAlignment="1">
      <alignment horizontal="center" vertical="center" wrapText="1"/>
    </xf>
    <xf numFmtId="0" fontId="8" fillId="9" borderId="19" xfId="2" applyFont="1" applyFill="1" applyBorder="1" applyAlignment="1">
      <alignment horizontal="center" vertical="center"/>
    </xf>
    <xf numFmtId="0" fontId="8" fillId="9" borderId="19" xfId="2" applyFont="1" applyFill="1" applyBorder="1" applyAlignment="1">
      <alignment horizontal="center" vertical="center" wrapText="1"/>
    </xf>
    <xf numFmtId="0" fontId="8" fillId="9" borderId="15" xfId="2" applyFont="1" applyFill="1" applyBorder="1" applyAlignment="1">
      <alignment horizontal="center" vertical="center"/>
    </xf>
    <xf numFmtId="0" fontId="11" fillId="0" borderId="7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8" fillId="9" borderId="16" xfId="2" applyFont="1" applyFill="1" applyBorder="1" applyAlignment="1">
      <alignment horizontal="center" vertical="center"/>
    </xf>
    <xf numFmtId="0" fontId="8" fillId="9" borderId="20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3" xfId="2" xr:uid="{9B5CFC2D-929B-45D0-B13D-189A81458DCF}"/>
  </cellStyles>
  <dxfs count="11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D5EF-60F2-428C-BB00-FCF8C8073BC2}">
  <sheetPr>
    <tabColor rgb="FFFF0000"/>
  </sheetPr>
  <dimension ref="A1:AI1015"/>
  <sheetViews>
    <sheetView tabSelected="1" zoomScale="70" zoomScaleNormal="70" workbookViewId="0">
      <pane xSplit="11" ySplit="15" topLeftCell="L16" activePane="bottomRight" state="frozen"/>
      <selection pane="topRight" activeCell="L1" sqref="L1"/>
      <selection pane="bottomLeft" activeCell="A16" sqref="A16"/>
      <selection pane="bottomRight" activeCell="AA27" sqref="AA27"/>
    </sheetView>
  </sheetViews>
  <sheetFormatPr defaultColWidth="9" defaultRowHeight="16.5" x14ac:dyDescent="0.3"/>
  <cols>
    <col min="1" max="1" width="9.875" style="30" bestFit="1" customWidth="1"/>
    <col min="2" max="2" width="9.25" style="30" bestFit="1" customWidth="1"/>
    <col min="3" max="3" width="7.875" style="30" bestFit="1" customWidth="1"/>
    <col min="4" max="4" width="16" style="30" bestFit="1" customWidth="1"/>
    <col min="5" max="5" width="11.5" style="30" customWidth="1"/>
    <col min="6" max="6" width="8.25" style="30" bestFit="1" customWidth="1"/>
    <col min="7" max="7" width="12.875" style="30" bestFit="1" customWidth="1"/>
    <col min="8" max="8" width="12" style="30" bestFit="1" customWidth="1"/>
    <col min="9" max="9" width="9.25" style="30" customWidth="1"/>
    <col min="10" max="10" width="15.75" style="30" bestFit="1" customWidth="1"/>
    <col min="11" max="11" width="17.625" style="30" bestFit="1" customWidth="1"/>
    <col min="12" max="12" width="8.25" style="43" bestFit="1" customWidth="1"/>
    <col min="13" max="14" width="8.625" style="30" customWidth="1"/>
    <col min="15" max="15" width="8.625" style="43" customWidth="1"/>
    <col min="16" max="19" width="8.625" style="44" customWidth="1"/>
    <col min="20" max="20" width="8.625" style="30" customWidth="1"/>
    <col min="21" max="21" width="10" style="44" customWidth="1"/>
    <col min="22" max="23" width="8.625" style="44" customWidth="1"/>
    <col min="24" max="24" width="8.625" style="43" customWidth="1"/>
    <col min="25" max="28" width="8.625" style="44" customWidth="1"/>
    <col min="29" max="29" width="8.625" style="30" customWidth="1"/>
    <col min="30" max="32" width="8.625" style="44" customWidth="1"/>
    <col min="33" max="33" width="8.625" style="45" customWidth="1"/>
    <col min="34" max="34" width="6" style="30" customWidth="1"/>
    <col min="35" max="35" width="7.875" style="30" customWidth="1"/>
    <col min="36" max="16384" width="9" style="30"/>
  </cols>
  <sheetData>
    <row r="1" spans="1:35" s="2" customFormat="1" ht="13.5" customHeight="1" x14ac:dyDescent="0.3">
      <c r="A1" s="1" t="s">
        <v>0</v>
      </c>
      <c r="G1" s="3"/>
      <c r="H1" s="3" t="s">
        <v>1</v>
      </c>
      <c r="I1" s="3"/>
      <c r="J1" s="77" t="s">
        <v>2</v>
      </c>
      <c r="K1" s="4" t="s">
        <v>3</v>
      </c>
      <c r="L1" s="5">
        <v>12</v>
      </c>
      <c r="M1" s="5">
        <v>450</v>
      </c>
      <c r="N1" s="5">
        <v>75</v>
      </c>
      <c r="O1" s="5">
        <v>12</v>
      </c>
      <c r="P1" s="5">
        <v>600</v>
      </c>
      <c r="Q1" s="5">
        <v>15</v>
      </c>
      <c r="R1" s="5">
        <v>900</v>
      </c>
      <c r="S1" s="5">
        <v>300</v>
      </c>
      <c r="T1" s="6">
        <v>2400</v>
      </c>
      <c r="U1" s="5" t="s">
        <v>67</v>
      </c>
      <c r="V1" s="5">
        <v>3</v>
      </c>
      <c r="W1" s="5">
        <v>5</v>
      </c>
      <c r="X1" s="5">
        <v>10</v>
      </c>
      <c r="Y1" s="5">
        <v>3</v>
      </c>
      <c r="Z1" s="5">
        <v>60</v>
      </c>
      <c r="AA1" s="5">
        <v>150</v>
      </c>
      <c r="AB1" s="5">
        <v>45</v>
      </c>
      <c r="AC1" s="6">
        <v>2000</v>
      </c>
      <c r="AD1" s="5">
        <v>24</v>
      </c>
      <c r="AE1" s="5">
        <v>12</v>
      </c>
      <c r="AF1" s="5">
        <v>15</v>
      </c>
      <c r="AG1" s="5">
        <v>2</v>
      </c>
      <c r="AH1" s="5">
        <v>500</v>
      </c>
      <c r="AI1" s="7"/>
    </row>
    <row r="2" spans="1:35" s="2" customFormat="1" ht="13.5" customHeight="1" x14ac:dyDescent="0.3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9"/>
      <c r="G2" s="10" t="s">
        <v>9</v>
      </c>
      <c r="H2" s="11">
        <f ca="1">SUM(Y13:AC13)</f>
        <v>0</v>
      </c>
      <c r="J2" s="77"/>
      <c r="K2" s="12" t="s">
        <v>10</v>
      </c>
      <c r="L2" s="13">
        <v>4</v>
      </c>
      <c r="M2" s="13">
        <v>150</v>
      </c>
      <c r="N2" s="13">
        <v>25</v>
      </c>
      <c r="O2" s="13">
        <v>4</v>
      </c>
      <c r="P2" s="13">
        <v>200</v>
      </c>
      <c r="Q2" s="13">
        <v>5</v>
      </c>
      <c r="R2" s="13">
        <v>300</v>
      </c>
      <c r="S2" s="13">
        <v>100</v>
      </c>
      <c r="T2" s="13">
        <v>800</v>
      </c>
      <c r="U2" s="13">
        <v>10</v>
      </c>
      <c r="V2" s="13">
        <v>1</v>
      </c>
      <c r="W2" s="13">
        <v>2</v>
      </c>
      <c r="X2" s="13">
        <v>4</v>
      </c>
      <c r="Y2" s="13">
        <v>1</v>
      </c>
      <c r="Z2" s="13">
        <v>20</v>
      </c>
      <c r="AA2" s="13">
        <v>50</v>
      </c>
      <c r="AB2" s="13">
        <v>15</v>
      </c>
      <c r="AC2" s="13">
        <v>500</v>
      </c>
      <c r="AD2" s="13">
        <v>8</v>
      </c>
      <c r="AE2" s="13">
        <v>4</v>
      </c>
      <c r="AF2" s="13">
        <v>5</v>
      </c>
      <c r="AG2" s="13">
        <v>0.7</v>
      </c>
      <c r="AH2" s="13">
        <v>160</v>
      </c>
      <c r="AI2" s="7"/>
    </row>
    <row r="3" spans="1:35" s="2" customFormat="1" ht="13.5" customHeight="1" x14ac:dyDescent="0.3">
      <c r="A3" s="8" t="s">
        <v>11</v>
      </c>
      <c r="B3" s="14">
        <f>COUNTIFS($B$16:$B$1048576,"A", $E$16:$E$1048576,"최초")</f>
        <v>0</v>
      </c>
      <c r="C3" s="14">
        <f>COUNTIFS($B$16:$B$1048576,"A")</f>
        <v>0</v>
      </c>
      <c r="D3" s="14">
        <f>COUNTIFS($B$16:$B$12020,"Q")</f>
        <v>0</v>
      </c>
      <c r="E3" s="14">
        <f>COUNTIF($B$16:$B$12020,"0")</f>
        <v>0</v>
      </c>
      <c r="F3" s="15"/>
      <c r="G3" s="10" t="s">
        <v>12</v>
      </c>
      <c r="H3" s="11">
        <f ca="1">SUM(L13:S13)</f>
        <v>0</v>
      </c>
      <c r="J3" s="77"/>
      <c r="K3" s="16" t="s">
        <v>13</v>
      </c>
      <c r="L3" s="17">
        <f t="shared" ref="L3:T3" si="0">L2*0.7</f>
        <v>2.8</v>
      </c>
      <c r="M3" s="17">
        <f t="shared" si="0"/>
        <v>105</v>
      </c>
      <c r="N3" s="17">
        <f t="shared" si="0"/>
        <v>17.5</v>
      </c>
      <c r="O3" s="17">
        <f t="shared" si="0"/>
        <v>2.8</v>
      </c>
      <c r="P3" s="17">
        <f t="shared" si="0"/>
        <v>140</v>
      </c>
      <c r="Q3" s="17">
        <f t="shared" si="0"/>
        <v>3.5</v>
      </c>
      <c r="R3" s="17">
        <f t="shared" si="0"/>
        <v>210</v>
      </c>
      <c r="S3" s="18">
        <f t="shared" si="0"/>
        <v>70</v>
      </c>
      <c r="T3" s="17">
        <f t="shared" si="0"/>
        <v>560</v>
      </c>
      <c r="U3" s="17">
        <f>U2*0.4</f>
        <v>4</v>
      </c>
      <c r="V3" s="17">
        <f>V2*0.4</f>
        <v>0.4</v>
      </c>
      <c r="W3" s="17">
        <f>W2*0.4</f>
        <v>0.8</v>
      </c>
      <c r="X3" s="17">
        <f>X2*0.4</f>
        <v>1.6</v>
      </c>
      <c r="Y3" s="17">
        <f>Y2*0.4</f>
        <v>0.4</v>
      </c>
      <c r="Z3" s="17">
        <f t="shared" ref="Z3:AE3" si="1">Z2*0.4</f>
        <v>8</v>
      </c>
      <c r="AA3" s="17">
        <f t="shared" si="1"/>
        <v>20</v>
      </c>
      <c r="AB3" s="17">
        <f t="shared" si="1"/>
        <v>6</v>
      </c>
      <c r="AC3" s="19">
        <f>AC2*0.4</f>
        <v>200</v>
      </c>
      <c r="AD3" s="17">
        <f t="shared" si="1"/>
        <v>3.2</v>
      </c>
      <c r="AE3" s="17">
        <f t="shared" si="1"/>
        <v>1.6</v>
      </c>
      <c r="AF3" s="17">
        <f>AF2*0.4</f>
        <v>2</v>
      </c>
      <c r="AG3" s="17">
        <f>AG2*0.4</f>
        <v>0.27999999999999997</v>
      </c>
      <c r="AH3" s="17">
        <f>AH2*0.4</f>
        <v>64</v>
      </c>
      <c r="AI3" s="7"/>
    </row>
    <row r="4" spans="1:35" s="2" customFormat="1" ht="13.5" customHeight="1" x14ac:dyDescent="0.3">
      <c r="A4" s="8" t="s">
        <v>14</v>
      </c>
      <c r="B4" s="14">
        <f>COUNTIFS($B$16:$B$1048576,"B", $E$16:$E$1048576,"최초")</f>
        <v>0</v>
      </c>
      <c r="C4" s="14">
        <f>COUNTIFS($B$16:$B$1048576,"B")</f>
        <v>0</v>
      </c>
      <c r="D4" s="14"/>
      <c r="E4" s="14"/>
      <c r="F4" s="15"/>
      <c r="G4" s="10" t="s">
        <v>15</v>
      </c>
      <c r="H4" s="11">
        <f ca="1">SUM(T13:X13,AD13,AE13,AF13,AG13)</f>
        <v>0</v>
      </c>
      <c r="J4" s="78" t="s">
        <v>16</v>
      </c>
      <c r="K4" s="4" t="s">
        <v>3</v>
      </c>
      <c r="L4" s="5">
        <v>30</v>
      </c>
      <c r="M4" s="6">
        <v>1500</v>
      </c>
      <c r="N4" s="5">
        <v>150</v>
      </c>
      <c r="O4" s="6">
        <v>30</v>
      </c>
      <c r="P4" s="6">
        <v>1200</v>
      </c>
      <c r="Q4" s="6">
        <v>45</v>
      </c>
      <c r="R4" s="6">
        <v>1800</v>
      </c>
      <c r="S4" s="6">
        <v>600</v>
      </c>
      <c r="T4" s="6">
        <v>3900</v>
      </c>
      <c r="U4" s="6" t="s">
        <v>67</v>
      </c>
      <c r="V4" s="5">
        <v>12</v>
      </c>
      <c r="W4" s="6">
        <v>5</v>
      </c>
      <c r="X4" s="5">
        <v>10</v>
      </c>
      <c r="Y4" s="6">
        <v>3</v>
      </c>
      <c r="Z4" s="5">
        <v>60</v>
      </c>
      <c r="AA4" s="6">
        <v>150</v>
      </c>
      <c r="AB4" s="5">
        <v>45</v>
      </c>
      <c r="AC4" s="6">
        <v>2400</v>
      </c>
      <c r="AD4" s="5">
        <v>24</v>
      </c>
      <c r="AE4" s="6">
        <v>12</v>
      </c>
      <c r="AF4" s="5">
        <v>20</v>
      </c>
      <c r="AG4" s="6">
        <v>6</v>
      </c>
      <c r="AH4" s="6">
        <v>1000</v>
      </c>
      <c r="AI4" s="7"/>
    </row>
    <row r="5" spans="1:35" s="2" customFormat="1" ht="13.5" customHeight="1" x14ac:dyDescent="0.3">
      <c r="A5" s="8" t="s">
        <v>17</v>
      </c>
      <c r="B5" s="14">
        <f>B3+B4</f>
        <v>0</v>
      </c>
      <c r="C5" s="14">
        <f>C3+C4</f>
        <v>0</v>
      </c>
      <c r="D5" s="14">
        <f>SUM(D3:D4)</f>
        <v>0</v>
      </c>
      <c r="E5" s="14">
        <f>SUM(E3:E4)</f>
        <v>0</v>
      </c>
      <c r="F5" s="15"/>
      <c r="G5" s="10" t="s">
        <v>18</v>
      </c>
      <c r="H5" s="20">
        <f ca="1">SUM(H2:H4)</f>
        <v>0</v>
      </c>
      <c r="J5" s="78"/>
      <c r="K5" s="12" t="s">
        <v>10</v>
      </c>
      <c r="L5" s="13">
        <v>10</v>
      </c>
      <c r="M5" s="13">
        <v>500</v>
      </c>
      <c r="N5" s="13">
        <v>50</v>
      </c>
      <c r="O5" s="13">
        <v>10</v>
      </c>
      <c r="P5" s="13">
        <v>400</v>
      </c>
      <c r="Q5" s="13">
        <v>15</v>
      </c>
      <c r="R5" s="13">
        <v>600</v>
      </c>
      <c r="S5" s="13">
        <v>200</v>
      </c>
      <c r="T5" s="21">
        <v>1300</v>
      </c>
      <c r="U5" s="13">
        <v>10</v>
      </c>
      <c r="V5" s="13">
        <v>4</v>
      </c>
      <c r="W5" s="13">
        <v>2</v>
      </c>
      <c r="X5" s="13">
        <v>4</v>
      </c>
      <c r="Y5" s="13">
        <v>1</v>
      </c>
      <c r="Z5" s="13">
        <v>20</v>
      </c>
      <c r="AA5" s="13">
        <v>50</v>
      </c>
      <c r="AB5" s="13">
        <v>15</v>
      </c>
      <c r="AC5" s="13">
        <v>800</v>
      </c>
      <c r="AD5" s="13">
        <v>8</v>
      </c>
      <c r="AE5" s="13">
        <v>4</v>
      </c>
      <c r="AF5" s="13">
        <v>7</v>
      </c>
      <c r="AG5" s="13">
        <v>2</v>
      </c>
      <c r="AH5" s="13">
        <v>340</v>
      </c>
      <c r="AI5" s="7"/>
    </row>
    <row r="6" spans="1:35" s="2" customFormat="1" ht="13.5" customHeight="1" x14ac:dyDescent="0.3">
      <c r="B6" s="79" t="s">
        <v>19</v>
      </c>
      <c r="C6" s="79"/>
      <c r="D6" s="79"/>
      <c r="E6" s="79"/>
      <c r="F6" s="80"/>
      <c r="J6" s="78"/>
      <c r="K6" s="16" t="s">
        <v>13</v>
      </c>
      <c r="L6" s="17">
        <f>L5*0.7</f>
        <v>7</v>
      </c>
      <c r="M6" s="17">
        <f t="shared" ref="M6:S6" si="2">M5*0.7</f>
        <v>350</v>
      </c>
      <c r="N6" s="17">
        <f t="shared" si="2"/>
        <v>35</v>
      </c>
      <c r="O6" s="17">
        <f t="shared" si="2"/>
        <v>7</v>
      </c>
      <c r="P6" s="17">
        <f t="shared" si="2"/>
        <v>280</v>
      </c>
      <c r="Q6" s="17">
        <f t="shared" si="2"/>
        <v>10.5</v>
      </c>
      <c r="R6" s="17">
        <f t="shared" si="2"/>
        <v>420</v>
      </c>
      <c r="S6" s="17">
        <f t="shared" si="2"/>
        <v>140</v>
      </c>
      <c r="T6" s="17">
        <f>T5*0.7</f>
        <v>909.99999999999989</v>
      </c>
      <c r="U6" s="17">
        <f>U5*0.4</f>
        <v>4</v>
      </c>
      <c r="V6" s="17">
        <f>V5*0.4</f>
        <v>1.6</v>
      </c>
      <c r="W6" s="17">
        <f>W5*0.4</f>
        <v>0.8</v>
      </c>
      <c r="X6" s="17">
        <f>X5*0.4</f>
        <v>1.6</v>
      </c>
      <c r="Y6" s="17">
        <f>Y5*0.4</f>
        <v>0.4</v>
      </c>
      <c r="Z6" s="17">
        <f t="shared" ref="Z6:AH6" si="3">Z5*0.4</f>
        <v>8</v>
      </c>
      <c r="AA6" s="17">
        <f t="shared" si="3"/>
        <v>20</v>
      </c>
      <c r="AB6" s="17">
        <f t="shared" si="3"/>
        <v>6</v>
      </c>
      <c r="AC6" s="19">
        <f>AC5*0.4</f>
        <v>320</v>
      </c>
      <c r="AD6" s="17">
        <f t="shared" si="3"/>
        <v>3.2</v>
      </c>
      <c r="AE6" s="17">
        <f t="shared" si="3"/>
        <v>1.6</v>
      </c>
      <c r="AF6" s="17">
        <f t="shared" si="3"/>
        <v>2.8000000000000003</v>
      </c>
      <c r="AG6" s="17">
        <f t="shared" si="3"/>
        <v>0.8</v>
      </c>
      <c r="AH6" s="17">
        <f t="shared" si="3"/>
        <v>136</v>
      </c>
      <c r="AI6" s="7"/>
    </row>
    <row r="7" spans="1:35" s="2" customFormat="1" ht="13.5" customHeight="1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J7" s="81" t="s">
        <v>25</v>
      </c>
      <c r="K7" s="4" t="s">
        <v>3</v>
      </c>
      <c r="L7" s="22">
        <v>180</v>
      </c>
      <c r="M7" s="23">
        <v>6000</v>
      </c>
      <c r="N7" s="23">
        <v>600</v>
      </c>
      <c r="O7" s="23">
        <v>60</v>
      </c>
      <c r="P7" s="23">
        <v>2100</v>
      </c>
      <c r="Q7" s="23">
        <v>120</v>
      </c>
      <c r="R7" s="23">
        <v>5000</v>
      </c>
      <c r="S7" s="23">
        <v>1500</v>
      </c>
      <c r="T7" s="23">
        <v>6000</v>
      </c>
      <c r="U7" s="23" t="s">
        <v>67</v>
      </c>
      <c r="V7" s="23">
        <v>36</v>
      </c>
      <c r="W7" s="23">
        <v>300</v>
      </c>
      <c r="X7" s="23">
        <v>50</v>
      </c>
      <c r="Y7" s="23">
        <v>9</v>
      </c>
      <c r="Z7" s="23">
        <v>180</v>
      </c>
      <c r="AA7" s="23">
        <v>1020</v>
      </c>
      <c r="AB7" s="23">
        <v>135</v>
      </c>
      <c r="AC7" s="23">
        <v>6000</v>
      </c>
      <c r="AD7" s="23">
        <v>120</v>
      </c>
      <c r="AE7" s="23">
        <v>75</v>
      </c>
      <c r="AF7" s="23">
        <v>210</v>
      </c>
      <c r="AG7" s="23">
        <v>21</v>
      </c>
      <c r="AH7" s="23">
        <v>3000</v>
      </c>
      <c r="AI7" s="7"/>
    </row>
    <row r="8" spans="1:35" s="2" customFormat="1" ht="13.5" customHeight="1" x14ac:dyDescent="0.3">
      <c r="B8" s="3"/>
      <c r="C8" s="3"/>
      <c r="D8" s="3"/>
      <c r="E8" s="3"/>
      <c r="F8" s="3"/>
      <c r="J8" s="81"/>
      <c r="K8" s="12" t="s">
        <v>10</v>
      </c>
      <c r="L8" s="13">
        <v>60</v>
      </c>
      <c r="M8" s="21">
        <v>2000</v>
      </c>
      <c r="N8" s="21">
        <v>200</v>
      </c>
      <c r="O8" s="21">
        <v>20</v>
      </c>
      <c r="P8" s="21">
        <v>700</v>
      </c>
      <c r="Q8" s="21">
        <v>40</v>
      </c>
      <c r="R8" s="21">
        <v>2000</v>
      </c>
      <c r="S8" s="21">
        <v>500</v>
      </c>
      <c r="T8" s="21">
        <v>2000</v>
      </c>
      <c r="U8" s="21">
        <v>30</v>
      </c>
      <c r="V8" s="21">
        <v>12</v>
      </c>
      <c r="W8" s="21">
        <v>120</v>
      </c>
      <c r="X8" s="21">
        <v>20</v>
      </c>
      <c r="Y8" s="21">
        <v>3</v>
      </c>
      <c r="Z8" s="21">
        <v>60</v>
      </c>
      <c r="AA8" s="21">
        <v>340</v>
      </c>
      <c r="AB8" s="21">
        <v>45</v>
      </c>
      <c r="AC8" s="21">
        <v>2000</v>
      </c>
      <c r="AD8" s="21">
        <v>40</v>
      </c>
      <c r="AE8" s="21">
        <v>25</v>
      </c>
      <c r="AF8" s="21">
        <v>70</v>
      </c>
      <c r="AG8" s="21">
        <v>7</v>
      </c>
      <c r="AH8" s="21">
        <v>1000</v>
      </c>
      <c r="AI8" s="7"/>
    </row>
    <row r="9" spans="1:35" s="2" customFormat="1" ht="13.5" customHeight="1" x14ac:dyDescent="0.3">
      <c r="B9" s="3"/>
      <c r="C9" s="3"/>
      <c r="D9" s="3" t="s">
        <v>26</v>
      </c>
      <c r="E9" s="3" t="s">
        <v>27</v>
      </c>
      <c r="F9" s="3" t="s">
        <v>28</v>
      </c>
      <c r="J9" s="81"/>
      <c r="K9" s="16" t="s">
        <v>13</v>
      </c>
      <c r="L9" s="17">
        <f>L8*0.7</f>
        <v>42</v>
      </c>
      <c r="M9" s="17">
        <f t="shared" ref="M9:S9" si="4">M8*0.7</f>
        <v>1400</v>
      </c>
      <c r="N9" s="17">
        <f t="shared" si="4"/>
        <v>140</v>
      </c>
      <c r="O9" s="17">
        <f t="shared" si="4"/>
        <v>14</v>
      </c>
      <c r="P9" s="17">
        <f t="shared" si="4"/>
        <v>489.99999999999994</v>
      </c>
      <c r="Q9" s="17">
        <f t="shared" si="4"/>
        <v>28</v>
      </c>
      <c r="R9" s="17">
        <f t="shared" si="4"/>
        <v>1400</v>
      </c>
      <c r="S9" s="17">
        <f t="shared" si="4"/>
        <v>350</v>
      </c>
      <c r="T9" s="17">
        <f>T8*0.7</f>
        <v>1400</v>
      </c>
      <c r="U9" s="17">
        <f>U8*0.4</f>
        <v>12</v>
      </c>
      <c r="V9" s="17">
        <f>V8*0.4</f>
        <v>4.8000000000000007</v>
      </c>
      <c r="W9" s="17">
        <f>W8*0.4</f>
        <v>48</v>
      </c>
      <c r="X9" s="17">
        <f>X8*0.4</f>
        <v>8</v>
      </c>
      <c r="Y9" s="17">
        <f>Y8*0.4</f>
        <v>1.2000000000000002</v>
      </c>
      <c r="Z9" s="17">
        <f t="shared" ref="Z9:AH9" si="5">Z8*0.4</f>
        <v>24</v>
      </c>
      <c r="AA9" s="17">
        <f t="shared" si="5"/>
        <v>136</v>
      </c>
      <c r="AB9" s="17">
        <f t="shared" si="5"/>
        <v>18</v>
      </c>
      <c r="AC9" s="19">
        <f>AC8*0.4</f>
        <v>800</v>
      </c>
      <c r="AD9" s="17">
        <f t="shared" si="5"/>
        <v>16</v>
      </c>
      <c r="AE9" s="17">
        <f t="shared" si="5"/>
        <v>10</v>
      </c>
      <c r="AF9" s="17">
        <f t="shared" si="5"/>
        <v>28</v>
      </c>
      <c r="AG9" s="17">
        <f t="shared" si="5"/>
        <v>2.8000000000000003</v>
      </c>
      <c r="AH9" s="17">
        <f t="shared" si="5"/>
        <v>400</v>
      </c>
      <c r="AI9" s="7"/>
    </row>
    <row r="10" spans="1:35" s="2" customFormat="1" ht="17.25" customHeight="1" thickBot="1" x14ac:dyDescent="0.35">
      <c r="B10" s="3"/>
      <c r="C10" s="3"/>
      <c r="D10" s="24">
        <f ca="1">TODAY()</f>
        <v>46232</v>
      </c>
      <c r="E10" s="25" t="str">
        <f ca="1">IF(B5=J13, "정상", "오류")</f>
        <v>정상</v>
      </c>
      <c r="F10" s="25" t="str">
        <f ca="1">IF(C5=K13, "정상", "오류")</f>
        <v>정상</v>
      </c>
      <c r="J10" s="82" t="s">
        <v>29</v>
      </c>
      <c r="K10" s="83"/>
      <c r="L10" s="26" t="str" cm="1">
        <f t="array" aca="1" ref="L10" ca="1">IF(SUMPRODUCT(SUBTOTAL(102, OFFSET(L$16, ROW(L$16:L$1015)-ROW(L$16), 0)))&gt;0, SUBTOTAL(4, L$16:L$1015), IF(SUMPRODUCT(SUBTOTAL(103, OFFSET(L$16, ROW(L$16:L$1015)-ROW(L$16), 0)), --(L$16:L$1015="ND"))&gt;0, "ND", ""))</f>
        <v/>
      </c>
      <c r="M10" s="27" t="str" cm="1">
        <f t="array" aca="1" ref="M10" ca="1">IF(SUMPRODUCT(SUBTOTAL(102, OFFSET(M$16, ROW(M$16:M$1015)-ROW(M$16), 0)))&gt;0, SUBTOTAL(4, M$16:M$1015), IF(SUMPRODUCT(SUBTOTAL(103, OFFSET(M$16, ROW(M$16:M$1015)-ROW(M$16), 0)), --(M$16:M$1015="ND"))&gt;0, "ND", ""))</f>
        <v/>
      </c>
      <c r="N10" s="26" t="str" cm="1">
        <f t="array" aca="1" ref="N10" ca="1">IF(SUMPRODUCT(SUBTOTAL(102, OFFSET(N$16, ROW(N$16:N$1015)-ROW(N$16), 0)))&gt;0, SUBTOTAL(4, N$16:N$1015), IF(SUMPRODUCT(SUBTOTAL(103, OFFSET(N$16, ROW(N$16:N$1015)-ROW(N$16), 0)), --(N$16:N$1015="ND"))&gt;0, "ND", ""))</f>
        <v/>
      </c>
      <c r="O10" s="26" t="str" cm="1">
        <f t="array" aca="1" ref="O10" ca="1">IF(SUMPRODUCT(SUBTOTAL(102, OFFSET(O$16, ROW(O$16:O$1015)-ROW(O$16), 0)))&gt;0, SUBTOTAL(4, O$16:O$1015), IF(SUMPRODUCT(SUBTOTAL(103, OFFSET(O$16, ROW(O$16:O$1015)-ROW(O$16), 0)), --(O$16:O$1015="ND"))&gt;0, "ND", ""))</f>
        <v/>
      </c>
      <c r="P10" s="27" t="str" cm="1">
        <f t="array" aca="1" ref="P10" ca="1">IF(SUMPRODUCT(SUBTOTAL(102, OFFSET(P$16, ROW(P$16:P$1015)-ROW(P$16), 0)))&gt;0, SUBTOTAL(4, P$16:P$1015), IF(SUMPRODUCT(SUBTOTAL(103, OFFSET(P$16, ROW(P$16:P$1015)-ROW(P$16), 0)), --(P$16:P$1015="ND"))&gt;0, "ND", ""))</f>
        <v/>
      </c>
      <c r="Q10" s="27" t="str" cm="1">
        <f t="array" aca="1" ref="Q10" ca="1">IF(SUMPRODUCT(SUBTOTAL(102, OFFSET(Q$16, ROW(Q$16:Q$1015)-ROW(Q$16), 0)))&gt;0, SUBTOTAL(4, Q$16:Q$1015), IF(SUMPRODUCT(SUBTOTAL(103, OFFSET(Q$16, ROW(Q$16:Q$1015)-ROW(Q$16), 0)), --(Q$16:Q$1015="ND"))&gt;0, "ND", ""))</f>
        <v/>
      </c>
      <c r="R10" s="27" t="str" cm="1">
        <f t="array" aca="1" ref="R10" ca="1">IF(SUMPRODUCT(SUBTOTAL(102, OFFSET(R$16, ROW(R$16:R$1015)-ROW(R$16), 0)))&gt;0, SUBTOTAL(4, R$16:R$1015), IF(SUMPRODUCT(SUBTOTAL(103, OFFSET(R$16, ROW(R$16:R$1015)-ROW(R$16), 0)), --(R$16:R$1015="ND"))&gt;0, "ND", ""))</f>
        <v/>
      </c>
      <c r="S10" s="27" t="str" cm="1">
        <f t="array" aca="1" ref="S10" ca="1">IF(SUMPRODUCT(SUBTOTAL(102, OFFSET(S$16, ROW(S$16:S$1015)-ROW(S$16), 0)))&gt;0, SUBTOTAL(4, S$16:S$1015), IF(SUMPRODUCT(SUBTOTAL(103, OFFSET(S$16, ROW(S$16:S$1015)-ROW(S$16), 0)), --(S$16:S$1015="ND"))&gt;0, "ND", ""))</f>
        <v/>
      </c>
      <c r="T10" s="28" t="str" cm="1">
        <f t="array" aca="1" ref="T10" ca="1">IF(SUMPRODUCT(SUBTOTAL(102, OFFSET(T$16, ROW(T$16:T$1015)-ROW(T$16), 0)))&gt;0, SUBTOTAL(4, T$16:T$1015), IF(SUMPRODUCT(SUBTOTAL(103, OFFSET(T$16, ROW(T$16:T$1015)-ROW(T$16), 0)), --(T$16:T$1015="ND"))&gt;0, "ND", ""))</f>
        <v/>
      </c>
      <c r="U10" s="26" t="str" cm="1">
        <f t="array" aca="1" ref="U10" ca="1">IF(SUMPRODUCT(SUBTOTAL(102, OFFSET(U$16, ROW(U$16:U$1015)-ROW(U$16), 0)))&gt;0, SUBTOTAL(4, U$16:U$1015), IF(SUMPRODUCT(SUBTOTAL(103, OFFSET(U$16, ROW(U$16:U$1015)-ROW(U$16), 0)), --(U$16:U$1015="ND"))&gt;0, "ND", ""))</f>
        <v/>
      </c>
      <c r="V10" s="26" t="str" cm="1">
        <f t="array" aca="1" ref="V10" ca="1">IF(SUMPRODUCT(SUBTOTAL(102, OFFSET(V$16, ROW(V$16:V$1015)-ROW(V$16), 0)))&gt;0, SUBTOTAL(4, V$16:V$1015), IF(SUMPRODUCT(SUBTOTAL(103, OFFSET(V$16, ROW(V$16:V$1015)-ROW(V$16), 0)), --(V$16:V$1015="ND"))&gt;0, "ND", ""))</f>
        <v/>
      </c>
      <c r="W10" s="27" t="str" cm="1">
        <f t="array" aca="1" ref="W10" ca="1">IF(SUMPRODUCT(SUBTOTAL(102, OFFSET(W$16, ROW(W$16:W$1015)-ROW(W$16), 0)))&gt;0, SUBTOTAL(4, W$16:W$1015), IF(SUMPRODUCT(SUBTOTAL(103, OFFSET(W$16, ROW(W$16:W$1015)-ROW(W$16), 0)), --(W$16:W$1015="ND"))&gt;0, "ND", ""))</f>
        <v/>
      </c>
      <c r="X10" s="26" t="str" cm="1">
        <f t="array" aca="1" ref="X10" ca="1">IF(SUMPRODUCT(SUBTOTAL(102, OFFSET(X$16, ROW(X$16:X$1015)-ROW(X$16), 0)))&gt;0, SUBTOTAL(4, X$16:X$1015), IF(SUMPRODUCT(SUBTOTAL(103, OFFSET(X$16, ROW(X$16:X$1015)-ROW(X$16), 0)), --(X$16:X$1015="ND"))&gt;0, "ND", ""))</f>
        <v/>
      </c>
      <c r="Y10" s="27" t="str" cm="1">
        <f t="array" aca="1" ref="Y10" ca="1">IF(SUMPRODUCT(SUBTOTAL(102, OFFSET(Y$16, ROW(Y$16:Y$1015)-ROW(Y$16), 0)))&gt;0, SUBTOTAL(4, Y$16:Y$1015), IF(SUMPRODUCT(SUBTOTAL(103, OFFSET(Y$16, ROW(Y$16:Y$1015)-ROW(Y$16), 0)), --(Y$16:Y$1015="ND"))&gt;0, "ND", ""))</f>
        <v/>
      </c>
      <c r="Z10" s="27" t="str" cm="1">
        <f t="array" aca="1" ref="Z10" ca="1">IF(SUMPRODUCT(SUBTOTAL(102, OFFSET(Z$16, ROW(Z$16:Z$1015)-ROW(Z$16), 0)))&gt;0, SUBTOTAL(4, Z$16:Z$1015), IF(SUMPRODUCT(SUBTOTAL(103, OFFSET(Z$16, ROW(Z$16:Z$1015)-ROW(Z$16), 0)), --(Z$16:Z$1015="ND"))&gt;0, "ND", ""))</f>
        <v/>
      </c>
      <c r="AA10" s="27" t="str" cm="1">
        <f t="array" aca="1" ref="AA10" ca="1">IF(SUMPRODUCT(SUBTOTAL(102, OFFSET(AA$16, ROW(AA$16:AA$1015)-ROW(AA$16), 0)))&gt;0, SUBTOTAL(4, AA$16:AA$1015), IF(SUMPRODUCT(SUBTOTAL(103, OFFSET(AA$16, ROW(AA$16:AA$1015)-ROW(AA$16), 0)), --(AA$16:AA$1015="ND"))&gt;0, "ND", ""))</f>
        <v/>
      </c>
      <c r="AB10" s="27" t="str" cm="1">
        <f t="array" aca="1" ref="AB10" ca="1">IF(SUMPRODUCT(SUBTOTAL(102, OFFSET(AB$16, ROW(AB$16:AB$1015)-ROW(AB$16), 0)))&gt;0, SUBTOTAL(4, AB$16:AB$1015), IF(SUMPRODUCT(SUBTOTAL(103, OFFSET(AB$16, ROW(AB$16:AB$1015)-ROW(AB$16), 0)), --(AB$16:AB$1015="ND"))&gt;0, "ND", ""))</f>
        <v/>
      </c>
      <c r="AC10" s="28" t="str" cm="1">
        <f t="array" aca="1" ref="AC10" ca="1">IF(SUMPRODUCT(SUBTOTAL(102, OFFSET(AC$16, ROW(AC$16:AC$1015)-ROW(AC$16), 0)))&gt;0, SUBTOTAL(4, AC$16:AC$1015), IF(SUMPRODUCT(SUBTOTAL(103, OFFSET(AC$16, ROW(AC$16:AC$1015)-ROW(AC$16), 0)), --(AC$16:AC$1015="ND"))&gt;0, "ND", ""))</f>
        <v/>
      </c>
      <c r="AD10" s="27" t="str" cm="1">
        <f t="array" aca="1" ref="AD10" ca="1">IF(SUMPRODUCT(SUBTOTAL(102, OFFSET(AD$16, ROW(AD$16:AD$1015)-ROW(AD$16), 0)))&gt;0, SUBTOTAL(4, AD$16:AD$1015), IF(SUMPRODUCT(SUBTOTAL(103, OFFSET(AD$16, ROW(AD$16:AD$1015)-ROW(AD$16), 0)), --(AD$16:AD$1015="ND"))&gt;0, "ND", ""))</f>
        <v/>
      </c>
      <c r="AE10" s="27" t="str" cm="1">
        <f t="array" aca="1" ref="AE10" ca="1">IF(SUMPRODUCT(SUBTOTAL(102, OFFSET(AE$16, ROW(AE$16:AE$1015)-ROW(AE$16), 0)))&gt;0, SUBTOTAL(4, AE$16:AE$1015), IF(SUMPRODUCT(SUBTOTAL(103, OFFSET(AE$16, ROW(AE$16:AE$1015)-ROW(AE$16), 0)), --(AE$16:AE$1015="ND"))&gt;0, "ND", ""))</f>
        <v/>
      </c>
      <c r="AF10" s="27" t="str" cm="1">
        <f t="array" aca="1" ref="AF10" ca="1">IF(SUMPRODUCT(SUBTOTAL(102, OFFSET(AF$16, ROW(AF$16:AF$1015)-ROW(AF$16), 0)))&gt;0, SUBTOTAL(4, AF$16:AF$1015), IF(SUMPRODUCT(SUBTOTAL(103, OFFSET(AF$16, ROW(AF$16:AF$1015)-ROW(AF$16), 0)), --(AF$16:AF$1015="ND"))&gt;0, "ND", ""))</f>
        <v/>
      </c>
      <c r="AG10" s="29" t="str" cm="1">
        <f t="array" aca="1" ref="AG10" ca="1">IF(SUMPRODUCT(SUBTOTAL(102, OFFSET(AG$16, ROW(AG$16:AG$1015)-ROW(AG$16), 0)))&gt;0, SUBTOTAL(4, AG$16:AG$1015), IF(SUMPRODUCT(SUBTOTAL(103, OFFSET(AG$16, ROW(AG$16:AG$1015)-ROW(AG$16), 0)), --(AG$16:AG$1015="ND"))&gt;0, "ND", ""))</f>
        <v/>
      </c>
      <c r="AH10" s="27" t="str" cm="1">
        <f t="array" aca="1" ref="AH10" ca="1">IF(SUMPRODUCT(SUBTOTAL(102, OFFSET(AH$16, ROW(AH$16:AH$1015)-ROW(AH$16), 0)))&gt;0, SUBTOTAL(4, AH$16:AH$1015), IF(SUMPRODUCT(SUBTOTAL(103, OFFSET(AH$16, ROW(AH$16:AH$1015)-ROW(AH$16), 0)), --(AH$16:AH$1015="ND"))&gt;0, "ND", ""))</f>
        <v/>
      </c>
      <c r="AI10" s="27" t="str" cm="1">
        <f t="array" aca="1" ref="AI10" ca="1">IF(SUMPRODUCT(SUBTOTAL(102, OFFSET(AI$16, ROW(AI$16:AI$1015)-ROW(AI$16), 0)))&gt;0, SUBTOTAL(4, AI$16:AI$1015), IF(SUMPRODUCT(SUBTOTAL(103, OFFSET(AI$16, ROW(AI$16:AI$1015)-ROW(AI$16), 0)), --(AI$16:AI$1015="ND"))&gt;0, "ND", ""))</f>
        <v/>
      </c>
    </row>
    <row r="11" spans="1:35" ht="16.5" customHeight="1" x14ac:dyDescent="0.3">
      <c r="A11" s="73" t="s">
        <v>30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 t="s">
        <v>31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4"/>
    </row>
    <row r="12" spans="1:35" ht="17.25" customHeight="1" thickBot="1" x14ac:dyDescent="0.35">
      <c r="A12" s="7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6"/>
    </row>
    <row r="13" spans="1:35" ht="18" thickBot="1" x14ac:dyDescent="0.35">
      <c r="A13" s="31" cm="1">
        <f t="array" aca="1" ref="A13" ca="1">SUMPRODUCT(SUBTOTAL(103, OFFSET(A$16, ROW(A$16:A$1015)-ROW(A$16), 0)), --(LEN(A$16:A$1015)&gt;0))</f>
        <v>0</v>
      </c>
      <c r="B13" s="31" cm="1">
        <f t="array" aca="1" ref="B13" ca="1">SUMPRODUCT(SUBTOTAL(103, OFFSET(B$16, ROW(B$16:B$1015)-ROW(B$16), 0)), --(LEN(B$16:B$1015)&gt;0))</f>
        <v>0</v>
      </c>
      <c r="C13" s="31" cm="1">
        <f t="array" aca="1" ref="C13" ca="1">SUMPRODUCT(SUBTOTAL(103, OFFSET(C$16, ROW(C$16:C$1015)-ROW(C$16), 0)), --(LEN(C$16:C$1015)&gt;0))</f>
        <v>0</v>
      </c>
      <c r="D13" s="31" cm="1">
        <f t="array" aca="1" ref="D13" ca="1">SUMPRODUCT(SUBTOTAL(103, OFFSET(D$16, ROW(D$16:D$1015)-ROW(D$16), 0)), --(LEN(D$16:D$1015)&gt;0))</f>
        <v>1</v>
      </c>
      <c r="E13" s="31" cm="1">
        <f t="array" aca="1" ref="E13" ca="1">SUMPRODUCT(SUBTOTAL(103, OFFSET(E$16, ROW(E$16:E$1015)-ROW(E$16), 0)), --(LEN(E$16:E$1015)&gt;0))</f>
        <v>0</v>
      </c>
      <c r="F13" s="31" cm="1">
        <f t="array" aca="1" ref="F13" ca="1">SUMPRODUCT(SUBTOTAL(103, OFFSET(F$16, ROW(F$16:F$1015)-ROW(F$16), 0)), --(LEN(F$16:F$1015)&gt;0))</f>
        <v>0</v>
      </c>
      <c r="G13" s="31" cm="1">
        <f t="array" aca="1" ref="G13" ca="1">SUMPRODUCT(SUBTOTAL(103, OFFSET(G$16, ROW(G$16:G$1015)-ROW(G$16), 0)), --(LEN(G$16:G$1015)&gt;0))</f>
        <v>1</v>
      </c>
      <c r="H13" s="31" cm="1">
        <f t="array" aca="1" ref="H13" ca="1">SUMPRODUCT(SUBTOTAL(103, OFFSET(H$16, ROW(H$16:H$1015)-ROW(H$16), 0)), --(LEN(H$16:H$1015)&gt;0))</f>
        <v>0</v>
      </c>
      <c r="I13" s="31" cm="1">
        <f t="array" aca="1" ref="I13" ca="1">SUMPRODUCT(SUBTOTAL(103, OFFSET(I$16, ROW(I$16:I$1015)-ROW(I$16), 0)), --(LEN(I$16:I$1015)&gt;0))</f>
        <v>0</v>
      </c>
      <c r="J13" s="31" cm="1">
        <f t="array" aca="1" ref="J13" ca="1">SUMPRODUCT(SUBTOTAL(103, OFFSET(J$16, ROW(J$16:J$1015)-ROW(J$16), 0)), --(J$16:J$1015&lt;&gt;""), IFERROR(1/COUNTIF(J$16:J$1015, J$16:J$1015), 0))</f>
        <v>0</v>
      </c>
      <c r="K13" s="31" cm="1">
        <f t="array" aca="1" ref="K13" ca="1">SUMPRODUCT(SUBTOTAL(103, OFFSET(K$16, ROW(K$16:K$1015)-ROW(K$16), 0)), --(LEN(K$16:K$1015)&gt;0))</f>
        <v>0</v>
      </c>
      <c r="L13" s="31" cm="1">
        <f t="array" aca="1" ref="L13" ca="1">SUMPRODUCT(SUBTOTAL(103, OFFSET(L$16, ROW(L$16:L$1015)-ROW(L$16), 0)), --(LEN(L$16:L$1015)&gt;0))</f>
        <v>0</v>
      </c>
      <c r="M13" s="31" cm="1">
        <f t="array" aca="1" ref="M13" ca="1">SUMPRODUCT(SUBTOTAL(103, OFFSET(M$16, ROW(M$16:M$1015)-ROW(M$16), 0)), --(LEN(M$16:M$1015)&gt;0))</f>
        <v>0</v>
      </c>
      <c r="N13" s="31" cm="1">
        <f t="array" aca="1" ref="N13" ca="1">SUMPRODUCT(SUBTOTAL(103, OFFSET(N$16, ROW(N$16:N$1015)-ROW(N$16), 0)), --(LEN(N$16:N$1015)&gt;0))</f>
        <v>0</v>
      </c>
      <c r="O13" s="31" cm="1">
        <f t="array" aca="1" ref="O13" ca="1">SUMPRODUCT(SUBTOTAL(103, OFFSET(O$16, ROW(O$16:O$1015)-ROW(O$16), 0)), --(LEN(O$16:O$1015)&gt;0))</f>
        <v>0</v>
      </c>
      <c r="P13" s="31" cm="1">
        <f t="array" aca="1" ref="P13" ca="1">SUMPRODUCT(SUBTOTAL(103, OFFSET(P$16, ROW(P$16:P$1015)-ROW(P$16), 0)), --(LEN(P$16:P$1015)&gt;0))</f>
        <v>0</v>
      </c>
      <c r="Q13" s="31" cm="1">
        <f t="array" aca="1" ref="Q13" ca="1">SUMPRODUCT(SUBTOTAL(103, OFFSET(Q$16, ROW(Q$16:Q$1015)-ROW(Q$16), 0)), --(LEN(Q$16:Q$1015)&gt;0))</f>
        <v>0</v>
      </c>
      <c r="R13" s="31" cm="1">
        <f t="array" aca="1" ref="R13" ca="1">SUMPRODUCT(SUBTOTAL(103, OFFSET(R$16, ROW(R$16:R$1015)-ROW(R$16), 0)), --(LEN(R$16:R$1015)&gt;0))</f>
        <v>0</v>
      </c>
      <c r="S13" s="31" cm="1">
        <f t="array" aca="1" ref="S13" ca="1">SUMPRODUCT(SUBTOTAL(103, OFFSET(S$16, ROW(S$16:S$1015)-ROW(S$16), 0)), --(LEN(S$16:S$1015)&gt;0))</f>
        <v>0</v>
      </c>
      <c r="T13" s="31" cm="1">
        <f t="array" aca="1" ref="T13" ca="1">SUMPRODUCT(SUBTOTAL(103, OFFSET(T$16, ROW(T$16:T$1015)-ROW(T$16), 0)), --(LEN(T$16:T$1015)&gt;0))</f>
        <v>0</v>
      </c>
      <c r="U13" s="31" cm="1">
        <f t="array" aca="1" ref="U13" ca="1">SUMPRODUCT(SUBTOTAL(103, OFFSET(U$16, ROW(U$16:U$1015)-ROW(U$16), 0)), --(LEN(U$16:U$1015)&gt;0))</f>
        <v>0</v>
      </c>
      <c r="V13" s="31" cm="1">
        <f t="array" aca="1" ref="V13" ca="1">SUMPRODUCT(SUBTOTAL(103, OFFSET(V$16, ROW(V$16:V$1015)-ROW(V$16), 0)), --(LEN(V$16:V$1015)&gt;0))</f>
        <v>0</v>
      </c>
      <c r="W13" s="31" cm="1">
        <f t="array" aca="1" ref="W13" ca="1">SUMPRODUCT(SUBTOTAL(103, OFFSET(W$16, ROW(W$16:W$1015)-ROW(W$16), 0)), --(LEN(W$16:W$1015)&gt;0))</f>
        <v>0</v>
      </c>
      <c r="X13" s="31" cm="1">
        <f t="array" aca="1" ref="X13" ca="1">SUMPRODUCT(SUBTOTAL(103, OFFSET(X$16, ROW(X$16:X$1015)-ROW(X$16), 0)), --(LEN(X$16:X$1015)&gt;0))</f>
        <v>0</v>
      </c>
      <c r="Y13" s="31" cm="1">
        <f t="array" aca="1" ref="Y13" ca="1">SUMPRODUCT(SUBTOTAL(103, OFFSET(Y$16, ROW(Y$16:Y$1015)-ROW(Y$16), 0)), --(LEN(Y$16:Y$1015)&gt;0))</f>
        <v>0</v>
      </c>
      <c r="Z13" s="31" cm="1">
        <f t="array" aca="1" ref="Z13" ca="1">SUMPRODUCT(SUBTOTAL(103, OFFSET(Z$16, ROW(Z$16:Z$1015)-ROW(Z$16), 0)), --(LEN(Z$16:Z$1015)&gt;0))</f>
        <v>0</v>
      </c>
      <c r="AA13" s="31" cm="1">
        <f t="array" aca="1" ref="AA13" ca="1">SUMPRODUCT(SUBTOTAL(103, OFFSET(AA$16, ROW(AA$16:AA$1015)-ROW(AA$16), 0)), --(LEN(AA$16:AA$1015)&gt;0))</f>
        <v>0</v>
      </c>
      <c r="AB13" s="31" cm="1">
        <f t="array" aca="1" ref="AB13" ca="1">SUMPRODUCT(SUBTOTAL(103, OFFSET(AB$16, ROW(AB$16:AB$1015)-ROW(AB$16), 0)), --(LEN(AB$16:AB$1015)&gt;0))</f>
        <v>0</v>
      </c>
      <c r="AC13" s="31" cm="1">
        <f t="array" aca="1" ref="AC13" ca="1">SUMPRODUCT(SUBTOTAL(103, OFFSET(AC$16, ROW(AC$16:AC$1015)-ROW(AC$16), 0)), --(LEN(AC$16:AC$1015)&gt;0))</f>
        <v>0</v>
      </c>
      <c r="AD13" s="31" cm="1">
        <f t="array" aca="1" ref="AD13" ca="1">SUMPRODUCT(SUBTOTAL(103, OFFSET(AD$16, ROW(AD$16:AD$1015)-ROW(AD$16), 0)), --(LEN(AD$16:AD$1015)&gt;0))</f>
        <v>0</v>
      </c>
      <c r="AE13" s="31" cm="1">
        <f t="array" aca="1" ref="AE13" ca="1">SUMPRODUCT(SUBTOTAL(103, OFFSET(AE$16, ROW(AE$16:AE$1015)-ROW(AE$16), 0)), --(LEN(AE$16:AE$1015)&gt;0))</f>
        <v>0</v>
      </c>
      <c r="AF13" s="31" cm="1">
        <f t="array" aca="1" ref="AF13" ca="1">SUMPRODUCT(SUBTOTAL(103, OFFSET(AF$16, ROW(AF$16:AF$1015)-ROW(AF$16), 0)), --(LEN(AF$16:AF$1015)&gt;0))</f>
        <v>0</v>
      </c>
      <c r="AG13" s="31" cm="1">
        <f t="array" aca="1" ref="AG13" ca="1">SUMPRODUCT(SUBTOTAL(103, OFFSET(AG$16, ROW(AG$16:AG$1015)-ROW(AG$16), 0)), --(LEN(AG$16:AG$1015)&gt;0))</f>
        <v>0</v>
      </c>
      <c r="AH13" s="31" cm="1">
        <f t="array" aca="1" ref="AH13" ca="1">SUMPRODUCT(SUBTOTAL(103, OFFSET(AH$16, ROW(AH$16:AH$1015)-ROW(AH$16), 0)), --(LEN(AH$16:AH$1015)&gt;0))</f>
        <v>0</v>
      </c>
      <c r="AI13" s="31" cm="1">
        <f t="array" aca="1" ref="AI13" ca="1">SUMPRODUCT(SUBTOTAL(103, OFFSET(AI$16, ROW(AI$16:AI$1015)-ROW(AI$16), 0)), --(LEN(AI$16:AI$1015)&gt;0))</f>
        <v>0</v>
      </c>
    </row>
    <row r="14" spans="1:35" ht="16.5" customHeight="1" x14ac:dyDescent="0.3">
      <c r="A14" s="67" t="s">
        <v>32</v>
      </c>
      <c r="B14" s="69" t="s">
        <v>33</v>
      </c>
      <c r="C14" s="69" t="s">
        <v>34</v>
      </c>
      <c r="D14" s="72" t="s">
        <v>35</v>
      </c>
      <c r="E14" s="69" t="s">
        <v>36</v>
      </c>
      <c r="F14" s="69" t="s">
        <v>37</v>
      </c>
      <c r="G14" s="69" t="s">
        <v>38</v>
      </c>
      <c r="H14" s="69" t="s">
        <v>39</v>
      </c>
      <c r="I14" s="69" t="s">
        <v>40</v>
      </c>
      <c r="J14" s="69" t="s">
        <v>21</v>
      </c>
      <c r="K14" s="75" t="s">
        <v>41</v>
      </c>
      <c r="L14" s="56" t="s">
        <v>42</v>
      </c>
      <c r="M14" s="56" t="s">
        <v>43</v>
      </c>
      <c r="N14" s="56" t="s">
        <v>44</v>
      </c>
      <c r="O14" s="56" t="s">
        <v>45</v>
      </c>
      <c r="P14" s="56" t="s">
        <v>46</v>
      </c>
      <c r="Q14" s="56" t="s">
        <v>47</v>
      </c>
      <c r="R14" s="56" t="s">
        <v>48</v>
      </c>
      <c r="S14" s="58" t="s">
        <v>49</v>
      </c>
      <c r="T14" s="54" t="s">
        <v>50</v>
      </c>
      <c r="U14" s="60" t="s">
        <v>51</v>
      </c>
      <c r="V14" s="46" t="s">
        <v>52</v>
      </c>
      <c r="W14" s="54" t="s">
        <v>53</v>
      </c>
      <c r="X14" s="54" t="s">
        <v>54</v>
      </c>
      <c r="Y14" s="50" t="s">
        <v>55</v>
      </c>
      <c r="Z14" s="50" t="s">
        <v>56</v>
      </c>
      <c r="AA14" s="50" t="s">
        <v>57</v>
      </c>
      <c r="AB14" s="50" t="s">
        <v>58</v>
      </c>
      <c r="AC14" s="52" t="s">
        <v>59</v>
      </c>
      <c r="AD14" s="54" t="s">
        <v>60</v>
      </c>
      <c r="AE14" s="54" t="s">
        <v>61</v>
      </c>
      <c r="AF14" s="46" t="s">
        <v>62</v>
      </c>
      <c r="AG14" s="46" t="s">
        <v>63</v>
      </c>
      <c r="AH14" s="46" t="s">
        <v>64</v>
      </c>
      <c r="AI14" s="48" t="s">
        <v>65</v>
      </c>
    </row>
    <row r="15" spans="1:35" ht="22.5" customHeight="1" x14ac:dyDescent="0.3">
      <c r="A15" s="68"/>
      <c r="B15" s="70"/>
      <c r="C15" s="71"/>
      <c r="D15" s="70"/>
      <c r="E15" s="70"/>
      <c r="F15" s="71"/>
      <c r="G15" s="71"/>
      <c r="H15" s="71"/>
      <c r="I15" s="71"/>
      <c r="J15" s="71"/>
      <c r="K15" s="76"/>
      <c r="L15" s="57"/>
      <c r="M15" s="57"/>
      <c r="N15" s="57"/>
      <c r="O15" s="57"/>
      <c r="P15" s="57"/>
      <c r="Q15" s="57"/>
      <c r="R15" s="57"/>
      <c r="S15" s="59"/>
      <c r="T15" s="55"/>
      <c r="U15" s="61"/>
      <c r="V15" s="62"/>
      <c r="W15" s="55"/>
      <c r="X15" s="55"/>
      <c r="Y15" s="51"/>
      <c r="Z15" s="51"/>
      <c r="AA15" s="51"/>
      <c r="AB15" s="51"/>
      <c r="AC15" s="53"/>
      <c r="AD15" s="55"/>
      <c r="AE15" s="55"/>
      <c r="AF15" s="47"/>
      <c r="AG15" s="47"/>
      <c r="AH15" s="47"/>
      <c r="AI15" s="49"/>
    </row>
    <row r="16" spans="1:35" s="39" customFormat="1" x14ac:dyDescent="0.3">
      <c r="A16" s="32" t="str">
        <f>IF($K16="", "", ROW()-15)</f>
        <v/>
      </c>
      <c r="B16" s="33" t="str">
        <f>IFERROR(IF(ISNUMBER(SEARCH("Q", $K16)), "Q", MID(RIGHT($J16, 4), 1, 1)), "")</f>
        <v/>
      </c>
      <c r="C16" s="33" t="str">
        <f>IFERROR(IF(ISNUMBER(SEARCH("Q", $K16)), LEFT($K16, LEN($K16)-15), LEFT($K16, LEN($K16)-8)), "")</f>
        <v/>
      </c>
      <c r="D16" s="34">
        <v>46227</v>
      </c>
      <c r="E16" s="33" t="str">
        <f>IFERROR(IF($F16="", "", IF($F16="01", "최초", "추가")), " ")</f>
        <v/>
      </c>
      <c r="F16" s="33" t="str">
        <f>IFERROR(IF(ISNUMBER(SEARCH("Q", $K16)), MID(RIGHT($K16, 9), 1, 2), RIGHT($K16, 2)), "")</f>
        <v/>
      </c>
      <c r="G16" s="35" t="s">
        <v>66</v>
      </c>
      <c r="H16" s="35"/>
      <c r="I16" s="33"/>
      <c r="J16" s="33" t="str">
        <f>IFERROR(IF(ISNUMBER(SEARCH("Q", $K16)), LEFT($K16, LEN($K16)-10), LEFT($K16, LEN($K16)-3)), "")</f>
        <v/>
      </c>
      <c r="K16" s="36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8"/>
    </row>
    <row r="17" spans="1:35" x14ac:dyDescent="0.3">
      <c r="A17" s="32" t="str">
        <f t="shared" ref="A17:A80" si="6">IF($K17="", "", ROW()-15)</f>
        <v/>
      </c>
      <c r="B17" s="33" t="str">
        <f t="shared" ref="B17:B80" si="7">IFERROR(IF(ISNUMBER(SEARCH("Q", $K17)), "Q", MID(RIGHT($J17, 4), 1, 1)), "")</f>
        <v/>
      </c>
      <c r="C17" s="33" t="str">
        <f t="shared" ref="C17:C80" si="8">IFERROR(IF(ISNUMBER(SEARCH("Q", $K17)), LEFT($K17, LEN($K17)-15), LEFT($K17, LEN($K17)-8)), "")</f>
        <v/>
      </c>
      <c r="D17" s="34"/>
      <c r="E17" s="33" t="str">
        <f t="shared" ref="E17:E80" si="9">IFERROR(IF($F17="", "", IF($F17="01", "최초", "추가")), " ")</f>
        <v/>
      </c>
      <c r="F17" s="33" t="str">
        <f t="shared" ref="F17:F80" si="10">IFERROR(IF(ISNUMBER(SEARCH("Q", $K17)), MID(RIGHT($K17, 9), 1, 2), RIGHT($K17, 2)), "")</f>
        <v/>
      </c>
      <c r="G17" s="35"/>
      <c r="H17" s="35"/>
      <c r="I17" s="33"/>
      <c r="J17" s="33" t="str">
        <f t="shared" ref="J17:J80" si="11">IFERROR(IF(ISNUMBER(SEARCH("Q", $K17)), LEFT($K17, LEN($K17)-10), LEFT($K17, LEN($K17)-3)), "")</f>
        <v/>
      </c>
      <c r="K17" s="3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8"/>
    </row>
    <row r="18" spans="1:35" x14ac:dyDescent="0.3">
      <c r="A18" s="32" t="str">
        <f t="shared" si="6"/>
        <v/>
      </c>
      <c r="B18" s="33" t="str">
        <f t="shared" si="7"/>
        <v/>
      </c>
      <c r="C18" s="33" t="str">
        <f t="shared" si="8"/>
        <v/>
      </c>
      <c r="D18" s="34"/>
      <c r="E18" s="33" t="str">
        <f t="shared" si="9"/>
        <v/>
      </c>
      <c r="F18" s="33" t="str">
        <f t="shared" si="10"/>
        <v/>
      </c>
      <c r="G18" s="35"/>
      <c r="H18" s="35"/>
      <c r="I18" s="33"/>
      <c r="J18" s="33" t="str">
        <f t="shared" si="11"/>
        <v/>
      </c>
      <c r="K18" s="3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8"/>
    </row>
    <row r="19" spans="1:35" x14ac:dyDescent="0.3">
      <c r="A19" s="32" t="str">
        <f t="shared" si="6"/>
        <v/>
      </c>
      <c r="B19" s="33" t="str">
        <f t="shared" si="7"/>
        <v/>
      </c>
      <c r="C19" s="33" t="str">
        <f t="shared" si="8"/>
        <v/>
      </c>
      <c r="D19" s="34"/>
      <c r="E19" s="33" t="str">
        <f t="shared" si="9"/>
        <v/>
      </c>
      <c r="F19" s="33" t="str">
        <f t="shared" si="10"/>
        <v/>
      </c>
      <c r="G19" s="35"/>
      <c r="H19" s="35"/>
      <c r="I19" s="33"/>
      <c r="J19" s="33" t="str">
        <f t="shared" si="11"/>
        <v/>
      </c>
      <c r="K19" s="3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8"/>
    </row>
    <row r="20" spans="1:35" x14ac:dyDescent="0.3">
      <c r="A20" s="32" t="str">
        <f t="shared" si="6"/>
        <v/>
      </c>
      <c r="B20" s="33" t="str">
        <f t="shared" si="7"/>
        <v/>
      </c>
      <c r="C20" s="33" t="str">
        <f t="shared" si="8"/>
        <v/>
      </c>
      <c r="D20" s="34"/>
      <c r="E20" s="33" t="str">
        <f t="shared" si="9"/>
        <v/>
      </c>
      <c r="F20" s="33" t="str">
        <f t="shared" si="10"/>
        <v/>
      </c>
      <c r="G20" s="35"/>
      <c r="H20" s="35"/>
      <c r="I20" s="33"/>
      <c r="J20" s="33" t="str">
        <f t="shared" si="11"/>
        <v/>
      </c>
      <c r="K20" s="3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8"/>
    </row>
    <row r="21" spans="1:35" x14ac:dyDescent="0.3">
      <c r="A21" s="32" t="str">
        <f t="shared" si="6"/>
        <v/>
      </c>
      <c r="B21" s="33" t="str">
        <f t="shared" si="7"/>
        <v/>
      </c>
      <c r="C21" s="33" t="str">
        <f t="shared" si="8"/>
        <v/>
      </c>
      <c r="D21" s="34"/>
      <c r="E21" s="33" t="str">
        <f t="shared" si="9"/>
        <v/>
      </c>
      <c r="F21" s="33" t="str">
        <f t="shared" si="10"/>
        <v/>
      </c>
      <c r="G21" s="35"/>
      <c r="H21" s="35"/>
      <c r="I21" s="33"/>
      <c r="J21" s="33" t="str">
        <f t="shared" si="11"/>
        <v/>
      </c>
      <c r="K21" s="3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8"/>
    </row>
    <row r="22" spans="1:35" x14ac:dyDescent="0.3">
      <c r="A22" s="32" t="str">
        <f t="shared" si="6"/>
        <v/>
      </c>
      <c r="B22" s="33" t="str">
        <f t="shared" si="7"/>
        <v/>
      </c>
      <c r="C22" s="33" t="str">
        <f t="shared" si="8"/>
        <v/>
      </c>
      <c r="D22" s="34"/>
      <c r="E22" s="33" t="str">
        <f t="shared" si="9"/>
        <v/>
      </c>
      <c r="F22" s="33" t="str">
        <f t="shared" si="10"/>
        <v/>
      </c>
      <c r="G22" s="35"/>
      <c r="H22" s="35"/>
      <c r="I22" s="33"/>
      <c r="J22" s="33" t="str">
        <f t="shared" si="11"/>
        <v/>
      </c>
      <c r="K22" s="3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8"/>
    </row>
    <row r="23" spans="1:35" x14ac:dyDescent="0.3">
      <c r="A23" s="32" t="str">
        <f t="shared" si="6"/>
        <v/>
      </c>
      <c r="B23" s="33" t="str">
        <f t="shared" si="7"/>
        <v/>
      </c>
      <c r="C23" s="33" t="str">
        <f t="shared" si="8"/>
        <v/>
      </c>
      <c r="D23" s="34"/>
      <c r="E23" s="33" t="str">
        <f t="shared" si="9"/>
        <v/>
      </c>
      <c r="F23" s="33" t="str">
        <f t="shared" si="10"/>
        <v/>
      </c>
      <c r="G23" s="35"/>
      <c r="H23" s="35"/>
      <c r="I23" s="33"/>
      <c r="J23" s="33" t="str">
        <f t="shared" si="11"/>
        <v/>
      </c>
      <c r="K23" s="3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8"/>
    </row>
    <row r="24" spans="1:35" x14ac:dyDescent="0.3">
      <c r="A24" s="32" t="str">
        <f t="shared" si="6"/>
        <v/>
      </c>
      <c r="B24" s="33" t="str">
        <f t="shared" si="7"/>
        <v/>
      </c>
      <c r="C24" s="33" t="str">
        <f t="shared" si="8"/>
        <v/>
      </c>
      <c r="D24" s="34"/>
      <c r="E24" s="33" t="str">
        <f t="shared" si="9"/>
        <v/>
      </c>
      <c r="F24" s="33" t="str">
        <f t="shared" si="10"/>
        <v/>
      </c>
      <c r="G24" s="35"/>
      <c r="H24" s="35"/>
      <c r="I24" s="33"/>
      <c r="J24" s="33" t="str">
        <f t="shared" si="11"/>
        <v/>
      </c>
      <c r="K24" s="36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8"/>
    </row>
    <row r="25" spans="1:35" x14ac:dyDescent="0.3">
      <c r="A25" s="32" t="str">
        <f t="shared" si="6"/>
        <v/>
      </c>
      <c r="B25" s="33" t="str">
        <f t="shared" si="7"/>
        <v/>
      </c>
      <c r="C25" s="33" t="str">
        <f t="shared" si="8"/>
        <v/>
      </c>
      <c r="D25" s="34"/>
      <c r="E25" s="33" t="str">
        <f t="shared" si="9"/>
        <v/>
      </c>
      <c r="F25" s="33" t="str">
        <f t="shared" si="10"/>
        <v/>
      </c>
      <c r="G25" s="35"/>
      <c r="H25" s="35"/>
      <c r="I25" s="33"/>
      <c r="J25" s="33" t="str">
        <f t="shared" si="11"/>
        <v/>
      </c>
      <c r="K25" s="36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8"/>
    </row>
    <row r="26" spans="1:35" x14ac:dyDescent="0.3">
      <c r="A26" s="32" t="str">
        <f t="shared" si="6"/>
        <v/>
      </c>
      <c r="B26" s="33" t="str">
        <f t="shared" si="7"/>
        <v/>
      </c>
      <c r="C26" s="33" t="str">
        <f t="shared" si="8"/>
        <v/>
      </c>
      <c r="D26" s="34"/>
      <c r="E26" s="33" t="str">
        <f t="shared" si="9"/>
        <v/>
      </c>
      <c r="F26" s="33" t="str">
        <f t="shared" si="10"/>
        <v/>
      </c>
      <c r="G26" s="35"/>
      <c r="H26" s="35"/>
      <c r="I26" s="33"/>
      <c r="J26" s="33" t="str">
        <f t="shared" si="11"/>
        <v/>
      </c>
      <c r="K26" s="3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8"/>
    </row>
    <row r="27" spans="1:35" x14ac:dyDescent="0.3">
      <c r="A27" s="32" t="str">
        <f t="shared" si="6"/>
        <v/>
      </c>
      <c r="B27" s="33" t="str">
        <f t="shared" si="7"/>
        <v/>
      </c>
      <c r="C27" s="33" t="str">
        <f t="shared" si="8"/>
        <v/>
      </c>
      <c r="D27" s="34"/>
      <c r="E27" s="33" t="str">
        <f t="shared" si="9"/>
        <v/>
      </c>
      <c r="F27" s="33" t="str">
        <f t="shared" si="10"/>
        <v/>
      </c>
      <c r="G27" s="35"/>
      <c r="H27" s="35"/>
      <c r="I27" s="33"/>
      <c r="J27" s="33" t="str">
        <f t="shared" si="11"/>
        <v/>
      </c>
      <c r="K27" s="36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8"/>
    </row>
    <row r="28" spans="1:35" x14ac:dyDescent="0.3">
      <c r="A28" s="32" t="str">
        <f t="shared" si="6"/>
        <v/>
      </c>
      <c r="B28" s="33" t="str">
        <f t="shared" si="7"/>
        <v/>
      </c>
      <c r="C28" s="33" t="str">
        <f t="shared" si="8"/>
        <v/>
      </c>
      <c r="D28" s="34"/>
      <c r="E28" s="33" t="str">
        <f t="shared" si="9"/>
        <v/>
      </c>
      <c r="F28" s="33" t="str">
        <f t="shared" si="10"/>
        <v/>
      </c>
      <c r="G28" s="35"/>
      <c r="H28" s="35"/>
      <c r="I28" s="33"/>
      <c r="J28" s="33" t="str">
        <f t="shared" si="11"/>
        <v/>
      </c>
      <c r="K28" s="36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8"/>
    </row>
    <row r="29" spans="1:35" x14ac:dyDescent="0.3">
      <c r="A29" s="32" t="str">
        <f t="shared" si="6"/>
        <v/>
      </c>
      <c r="B29" s="33" t="str">
        <f t="shared" si="7"/>
        <v/>
      </c>
      <c r="C29" s="33" t="str">
        <f t="shared" si="8"/>
        <v/>
      </c>
      <c r="D29" s="34"/>
      <c r="E29" s="33" t="str">
        <f t="shared" si="9"/>
        <v/>
      </c>
      <c r="F29" s="33" t="str">
        <f t="shared" si="10"/>
        <v/>
      </c>
      <c r="G29" s="35"/>
      <c r="H29" s="35"/>
      <c r="I29" s="33"/>
      <c r="J29" s="33" t="str">
        <f t="shared" si="11"/>
        <v/>
      </c>
      <c r="K29" s="36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8"/>
    </row>
    <row r="30" spans="1:35" x14ac:dyDescent="0.3">
      <c r="A30" s="32" t="str">
        <f t="shared" si="6"/>
        <v/>
      </c>
      <c r="B30" s="33" t="str">
        <f t="shared" si="7"/>
        <v/>
      </c>
      <c r="C30" s="33" t="str">
        <f t="shared" si="8"/>
        <v/>
      </c>
      <c r="D30" s="34"/>
      <c r="E30" s="33" t="str">
        <f t="shared" si="9"/>
        <v/>
      </c>
      <c r="F30" s="33" t="str">
        <f t="shared" si="10"/>
        <v/>
      </c>
      <c r="G30" s="35"/>
      <c r="H30" s="35"/>
      <c r="I30" s="33"/>
      <c r="J30" s="33" t="str">
        <f t="shared" si="11"/>
        <v/>
      </c>
      <c r="K30" s="36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8"/>
    </row>
    <row r="31" spans="1:35" x14ac:dyDescent="0.3">
      <c r="A31" s="32" t="str">
        <f t="shared" si="6"/>
        <v/>
      </c>
      <c r="B31" s="33" t="str">
        <f t="shared" si="7"/>
        <v/>
      </c>
      <c r="C31" s="33" t="str">
        <f t="shared" si="8"/>
        <v/>
      </c>
      <c r="D31" s="34"/>
      <c r="E31" s="33" t="str">
        <f t="shared" si="9"/>
        <v/>
      </c>
      <c r="F31" s="33" t="str">
        <f t="shared" si="10"/>
        <v/>
      </c>
      <c r="G31" s="35"/>
      <c r="H31" s="35"/>
      <c r="I31" s="33"/>
      <c r="J31" s="33" t="str">
        <f t="shared" si="11"/>
        <v/>
      </c>
      <c r="K31" s="36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8"/>
    </row>
    <row r="32" spans="1:35" x14ac:dyDescent="0.3">
      <c r="A32" s="32" t="str">
        <f t="shared" si="6"/>
        <v/>
      </c>
      <c r="B32" s="33" t="str">
        <f t="shared" si="7"/>
        <v/>
      </c>
      <c r="C32" s="33" t="str">
        <f t="shared" si="8"/>
        <v/>
      </c>
      <c r="D32" s="34"/>
      <c r="E32" s="33" t="str">
        <f t="shared" si="9"/>
        <v/>
      </c>
      <c r="F32" s="33" t="str">
        <f t="shared" si="10"/>
        <v/>
      </c>
      <c r="G32" s="35"/>
      <c r="H32" s="35"/>
      <c r="I32" s="33"/>
      <c r="J32" s="33" t="str">
        <f t="shared" si="11"/>
        <v/>
      </c>
      <c r="K32" s="36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8"/>
    </row>
    <row r="33" spans="1:35" x14ac:dyDescent="0.3">
      <c r="A33" s="32" t="str">
        <f t="shared" si="6"/>
        <v/>
      </c>
      <c r="B33" s="33" t="str">
        <f t="shared" si="7"/>
        <v/>
      </c>
      <c r="C33" s="33" t="str">
        <f t="shared" si="8"/>
        <v/>
      </c>
      <c r="D33" s="34"/>
      <c r="E33" s="33" t="str">
        <f t="shared" si="9"/>
        <v/>
      </c>
      <c r="F33" s="33" t="str">
        <f t="shared" si="10"/>
        <v/>
      </c>
      <c r="G33" s="35"/>
      <c r="H33" s="35"/>
      <c r="I33" s="33"/>
      <c r="J33" s="33" t="str">
        <f t="shared" si="11"/>
        <v/>
      </c>
      <c r="K33" s="36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8"/>
    </row>
    <row r="34" spans="1:35" x14ac:dyDescent="0.3">
      <c r="A34" s="32" t="str">
        <f t="shared" si="6"/>
        <v/>
      </c>
      <c r="B34" s="33" t="str">
        <f t="shared" si="7"/>
        <v/>
      </c>
      <c r="C34" s="33" t="str">
        <f t="shared" si="8"/>
        <v/>
      </c>
      <c r="D34" s="34"/>
      <c r="E34" s="33" t="str">
        <f t="shared" si="9"/>
        <v/>
      </c>
      <c r="F34" s="33" t="str">
        <f t="shared" si="10"/>
        <v/>
      </c>
      <c r="G34" s="35"/>
      <c r="H34" s="35"/>
      <c r="I34" s="33"/>
      <c r="J34" s="33" t="str">
        <f t="shared" si="11"/>
        <v/>
      </c>
      <c r="K34" s="36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8"/>
    </row>
    <row r="35" spans="1:35" x14ac:dyDescent="0.3">
      <c r="A35" s="32" t="str">
        <f t="shared" si="6"/>
        <v/>
      </c>
      <c r="B35" s="33" t="str">
        <f t="shared" si="7"/>
        <v/>
      </c>
      <c r="C35" s="33" t="str">
        <f t="shared" si="8"/>
        <v/>
      </c>
      <c r="D35" s="34"/>
      <c r="E35" s="33" t="str">
        <f t="shared" si="9"/>
        <v/>
      </c>
      <c r="F35" s="33" t="str">
        <f t="shared" si="10"/>
        <v/>
      </c>
      <c r="G35" s="35"/>
      <c r="H35" s="35"/>
      <c r="I35" s="33"/>
      <c r="J35" s="33" t="str">
        <f t="shared" si="11"/>
        <v/>
      </c>
      <c r="K35" s="36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8"/>
    </row>
    <row r="36" spans="1:35" x14ac:dyDescent="0.3">
      <c r="A36" s="32" t="str">
        <f t="shared" si="6"/>
        <v/>
      </c>
      <c r="B36" s="33" t="str">
        <f t="shared" si="7"/>
        <v/>
      </c>
      <c r="C36" s="33" t="str">
        <f t="shared" si="8"/>
        <v/>
      </c>
      <c r="D36" s="34"/>
      <c r="E36" s="33" t="str">
        <f t="shared" si="9"/>
        <v/>
      </c>
      <c r="F36" s="33" t="str">
        <f t="shared" si="10"/>
        <v/>
      </c>
      <c r="G36" s="35"/>
      <c r="H36" s="35"/>
      <c r="I36" s="33"/>
      <c r="J36" s="33" t="str">
        <f t="shared" si="11"/>
        <v/>
      </c>
      <c r="K36" s="36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8"/>
    </row>
    <row r="37" spans="1:35" x14ac:dyDescent="0.3">
      <c r="A37" s="32" t="str">
        <f t="shared" si="6"/>
        <v/>
      </c>
      <c r="B37" s="33" t="str">
        <f t="shared" si="7"/>
        <v/>
      </c>
      <c r="C37" s="33" t="str">
        <f t="shared" si="8"/>
        <v/>
      </c>
      <c r="D37" s="34"/>
      <c r="E37" s="33" t="str">
        <f t="shared" si="9"/>
        <v/>
      </c>
      <c r="F37" s="33" t="str">
        <f t="shared" si="10"/>
        <v/>
      </c>
      <c r="G37" s="35"/>
      <c r="H37" s="35"/>
      <c r="I37" s="33"/>
      <c r="J37" s="33" t="str">
        <f t="shared" si="11"/>
        <v/>
      </c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8"/>
    </row>
    <row r="38" spans="1:35" x14ac:dyDescent="0.3">
      <c r="A38" s="32" t="str">
        <f t="shared" si="6"/>
        <v/>
      </c>
      <c r="B38" s="33" t="str">
        <f t="shared" si="7"/>
        <v/>
      </c>
      <c r="C38" s="33" t="str">
        <f t="shared" si="8"/>
        <v/>
      </c>
      <c r="D38" s="34"/>
      <c r="E38" s="33" t="str">
        <f t="shared" si="9"/>
        <v/>
      </c>
      <c r="F38" s="33" t="str">
        <f t="shared" si="10"/>
        <v/>
      </c>
      <c r="G38" s="35"/>
      <c r="H38" s="35"/>
      <c r="I38" s="33"/>
      <c r="J38" s="33" t="str">
        <f t="shared" si="11"/>
        <v/>
      </c>
      <c r="K38" s="36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8"/>
    </row>
    <row r="39" spans="1:35" x14ac:dyDescent="0.3">
      <c r="A39" s="32" t="str">
        <f t="shared" si="6"/>
        <v/>
      </c>
      <c r="B39" s="33" t="str">
        <f t="shared" si="7"/>
        <v/>
      </c>
      <c r="C39" s="33" t="str">
        <f t="shared" si="8"/>
        <v/>
      </c>
      <c r="D39" s="34"/>
      <c r="E39" s="33" t="str">
        <f t="shared" si="9"/>
        <v/>
      </c>
      <c r="F39" s="33" t="str">
        <f t="shared" si="10"/>
        <v/>
      </c>
      <c r="G39" s="35"/>
      <c r="H39" s="35"/>
      <c r="I39" s="33"/>
      <c r="J39" s="33" t="str">
        <f t="shared" si="11"/>
        <v/>
      </c>
      <c r="K39" s="36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8"/>
    </row>
    <row r="40" spans="1:35" x14ac:dyDescent="0.3">
      <c r="A40" s="32" t="str">
        <f t="shared" si="6"/>
        <v/>
      </c>
      <c r="B40" s="33" t="str">
        <f t="shared" si="7"/>
        <v/>
      </c>
      <c r="C40" s="33" t="str">
        <f t="shared" si="8"/>
        <v/>
      </c>
      <c r="D40" s="34"/>
      <c r="E40" s="33" t="str">
        <f t="shared" si="9"/>
        <v/>
      </c>
      <c r="F40" s="33" t="str">
        <f t="shared" si="10"/>
        <v/>
      </c>
      <c r="G40" s="35"/>
      <c r="H40" s="35"/>
      <c r="I40" s="33"/>
      <c r="J40" s="33" t="str">
        <f t="shared" si="11"/>
        <v/>
      </c>
      <c r="K40" s="36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8"/>
    </row>
    <row r="41" spans="1:35" x14ac:dyDescent="0.3">
      <c r="A41" s="32" t="str">
        <f t="shared" si="6"/>
        <v/>
      </c>
      <c r="B41" s="33" t="str">
        <f t="shared" si="7"/>
        <v/>
      </c>
      <c r="C41" s="33" t="str">
        <f t="shared" si="8"/>
        <v/>
      </c>
      <c r="D41" s="34"/>
      <c r="E41" s="33" t="str">
        <f t="shared" si="9"/>
        <v/>
      </c>
      <c r="F41" s="33" t="str">
        <f t="shared" si="10"/>
        <v/>
      </c>
      <c r="G41" s="35"/>
      <c r="H41" s="35"/>
      <c r="I41" s="33"/>
      <c r="J41" s="33" t="str">
        <f t="shared" si="11"/>
        <v/>
      </c>
      <c r="K41" s="36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8"/>
    </row>
    <row r="42" spans="1:35" x14ac:dyDescent="0.3">
      <c r="A42" s="32" t="str">
        <f t="shared" si="6"/>
        <v/>
      </c>
      <c r="B42" s="33" t="str">
        <f t="shared" si="7"/>
        <v/>
      </c>
      <c r="C42" s="33" t="str">
        <f t="shared" si="8"/>
        <v/>
      </c>
      <c r="D42" s="34"/>
      <c r="E42" s="33" t="str">
        <f t="shared" si="9"/>
        <v/>
      </c>
      <c r="F42" s="33" t="str">
        <f t="shared" si="10"/>
        <v/>
      </c>
      <c r="G42" s="35"/>
      <c r="H42" s="35"/>
      <c r="I42" s="33"/>
      <c r="J42" s="33" t="str">
        <f t="shared" si="11"/>
        <v/>
      </c>
      <c r="K42" s="36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8"/>
    </row>
    <row r="43" spans="1:35" x14ac:dyDescent="0.3">
      <c r="A43" s="32" t="str">
        <f t="shared" si="6"/>
        <v/>
      </c>
      <c r="B43" s="33" t="str">
        <f t="shared" si="7"/>
        <v/>
      </c>
      <c r="C43" s="33" t="str">
        <f t="shared" si="8"/>
        <v/>
      </c>
      <c r="D43" s="34"/>
      <c r="E43" s="33" t="str">
        <f t="shared" si="9"/>
        <v/>
      </c>
      <c r="F43" s="33" t="str">
        <f t="shared" si="10"/>
        <v/>
      </c>
      <c r="G43" s="35"/>
      <c r="H43" s="35"/>
      <c r="I43" s="33"/>
      <c r="J43" s="33" t="str">
        <f t="shared" si="11"/>
        <v/>
      </c>
      <c r="K43" s="36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8"/>
    </row>
    <row r="44" spans="1:35" x14ac:dyDescent="0.3">
      <c r="A44" s="32" t="str">
        <f t="shared" si="6"/>
        <v/>
      </c>
      <c r="B44" s="33" t="str">
        <f t="shared" si="7"/>
        <v/>
      </c>
      <c r="C44" s="33" t="str">
        <f t="shared" si="8"/>
        <v/>
      </c>
      <c r="D44" s="34"/>
      <c r="E44" s="33" t="str">
        <f t="shared" si="9"/>
        <v/>
      </c>
      <c r="F44" s="33" t="str">
        <f t="shared" si="10"/>
        <v/>
      </c>
      <c r="G44" s="35"/>
      <c r="H44" s="35"/>
      <c r="I44" s="33"/>
      <c r="J44" s="33" t="str">
        <f t="shared" si="11"/>
        <v/>
      </c>
      <c r="K44" s="36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8"/>
    </row>
    <row r="45" spans="1:35" x14ac:dyDescent="0.3">
      <c r="A45" s="32" t="str">
        <f t="shared" si="6"/>
        <v/>
      </c>
      <c r="B45" s="33" t="str">
        <f t="shared" si="7"/>
        <v/>
      </c>
      <c r="C45" s="33" t="str">
        <f t="shared" si="8"/>
        <v/>
      </c>
      <c r="D45" s="34"/>
      <c r="E45" s="33" t="str">
        <f t="shared" si="9"/>
        <v/>
      </c>
      <c r="F45" s="33" t="str">
        <f t="shared" si="10"/>
        <v/>
      </c>
      <c r="G45" s="35"/>
      <c r="H45" s="35"/>
      <c r="I45" s="33"/>
      <c r="J45" s="33" t="str">
        <f t="shared" si="11"/>
        <v/>
      </c>
      <c r="K45" s="36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8"/>
    </row>
    <row r="46" spans="1:35" x14ac:dyDescent="0.3">
      <c r="A46" s="32" t="str">
        <f t="shared" si="6"/>
        <v/>
      </c>
      <c r="B46" s="33" t="str">
        <f t="shared" si="7"/>
        <v/>
      </c>
      <c r="C46" s="33" t="str">
        <f t="shared" si="8"/>
        <v/>
      </c>
      <c r="D46" s="34"/>
      <c r="E46" s="33" t="str">
        <f t="shared" si="9"/>
        <v/>
      </c>
      <c r="F46" s="33" t="str">
        <f t="shared" si="10"/>
        <v/>
      </c>
      <c r="G46" s="35"/>
      <c r="H46" s="35"/>
      <c r="I46" s="33"/>
      <c r="J46" s="33" t="str">
        <f t="shared" si="11"/>
        <v/>
      </c>
      <c r="K46" s="36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8"/>
    </row>
    <row r="47" spans="1:35" x14ac:dyDescent="0.3">
      <c r="A47" s="32" t="str">
        <f t="shared" si="6"/>
        <v/>
      </c>
      <c r="B47" s="33" t="str">
        <f t="shared" si="7"/>
        <v/>
      </c>
      <c r="C47" s="33" t="str">
        <f t="shared" si="8"/>
        <v/>
      </c>
      <c r="D47" s="34"/>
      <c r="E47" s="33" t="str">
        <f t="shared" si="9"/>
        <v/>
      </c>
      <c r="F47" s="33" t="str">
        <f t="shared" si="10"/>
        <v/>
      </c>
      <c r="G47" s="35"/>
      <c r="H47" s="35"/>
      <c r="I47" s="33"/>
      <c r="J47" s="33" t="str">
        <f t="shared" si="11"/>
        <v/>
      </c>
      <c r="K47" s="36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8"/>
    </row>
    <row r="48" spans="1:35" x14ac:dyDescent="0.3">
      <c r="A48" s="32" t="str">
        <f t="shared" si="6"/>
        <v/>
      </c>
      <c r="B48" s="33" t="str">
        <f t="shared" si="7"/>
        <v/>
      </c>
      <c r="C48" s="33" t="str">
        <f t="shared" si="8"/>
        <v/>
      </c>
      <c r="D48" s="34"/>
      <c r="E48" s="33" t="str">
        <f t="shared" si="9"/>
        <v/>
      </c>
      <c r="F48" s="33" t="str">
        <f t="shared" si="10"/>
        <v/>
      </c>
      <c r="G48" s="35"/>
      <c r="H48" s="35"/>
      <c r="I48" s="33"/>
      <c r="J48" s="33" t="str">
        <f t="shared" si="11"/>
        <v/>
      </c>
      <c r="K48" s="36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8"/>
    </row>
    <row r="49" spans="1:35" x14ac:dyDescent="0.3">
      <c r="A49" s="32" t="str">
        <f t="shared" si="6"/>
        <v/>
      </c>
      <c r="B49" s="33" t="str">
        <f t="shared" si="7"/>
        <v/>
      </c>
      <c r="C49" s="33" t="str">
        <f t="shared" si="8"/>
        <v/>
      </c>
      <c r="D49" s="34"/>
      <c r="E49" s="33" t="str">
        <f t="shared" si="9"/>
        <v/>
      </c>
      <c r="F49" s="33" t="str">
        <f t="shared" si="10"/>
        <v/>
      </c>
      <c r="G49" s="35"/>
      <c r="H49" s="35"/>
      <c r="I49" s="33"/>
      <c r="J49" s="33" t="str">
        <f t="shared" si="11"/>
        <v/>
      </c>
      <c r="K49" s="36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8"/>
    </row>
    <row r="50" spans="1:35" x14ac:dyDescent="0.3">
      <c r="A50" s="32" t="str">
        <f t="shared" si="6"/>
        <v/>
      </c>
      <c r="B50" s="33" t="str">
        <f t="shared" si="7"/>
        <v/>
      </c>
      <c r="C50" s="33" t="str">
        <f t="shared" si="8"/>
        <v/>
      </c>
      <c r="D50" s="34"/>
      <c r="E50" s="33" t="str">
        <f t="shared" si="9"/>
        <v/>
      </c>
      <c r="F50" s="33" t="str">
        <f t="shared" si="10"/>
        <v/>
      </c>
      <c r="G50" s="35"/>
      <c r="H50" s="35"/>
      <c r="I50" s="33"/>
      <c r="J50" s="33" t="str">
        <f t="shared" si="11"/>
        <v/>
      </c>
      <c r="K50" s="36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8"/>
    </row>
    <row r="51" spans="1:35" x14ac:dyDescent="0.3">
      <c r="A51" s="32" t="str">
        <f t="shared" si="6"/>
        <v/>
      </c>
      <c r="B51" s="33" t="str">
        <f t="shared" si="7"/>
        <v/>
      </c>
      <c r="C51" s="33" t="str">
        <f t="shared" si="8"/>
        <v/>
      </c>
      <c r="D51" s="34"/>
      <c r="E51" s="33" t="str">
        <f t="shared" si="9"/>
        <v/>
      </c>
      <c r="F51" s="33" t="str">
        <f t="shared" si="10"/>
        <v/>
      </c>
      <c r="G51" s="35"/>
      <c r="H51" s="35"/>
      <c r="I51" s="33"/>
      <c r="J51" s="33" t="str">
        <f t="shared" si="11"/>
        <v/>
      </c>
      <c r="K51" s="36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8"/>
    </row>
    <row r="52" spans="1:35" x14ac:dyDescent="0.3">
      <c r="A52" s="32" t="str">
        <f t="shared" si="6"/>
        <v/>
      </c>
      <c r="B52" s="33" t="str">
        <f t="shared" si="7"/>
        <v/>
      </c>
      <c r="C52" s="33" t="str">
        <f t="shared" si="8"/>
        <v/>
      </c>
      <c r="D52" s="34"/>
      <c r="E52" s="33" t="str">
        <f t="shared" si="9"/>
        <v/>
      </c>
      <c r="F52" s="33" t="str">
        <f t="shared" si="10"/>
        <v/>
      </c>
      <c r="G52" s="35"/>
      <c r="H52" s="35"/>
      <c r="I52" s="33"/>
      <c r="J52" s="33" t="str">
        <f t="shared" si="11"/>
        <v/>
      </c>
      <c r="K52" s="36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8"/>
    </row>
    <row r="53" spans="1:35" x14ac:dyDescent="0.3">
      <c r="A53" s="32" t="str">
        <f t="shared" si="6"/>
        <v/>
      </c>
      <c r="B53" s="33" t="str">
        <f t="shared" si="7"/>
        <v/>
      </c>
      <c r="C53" s="33" t="str">
        <f t="shared" si="8"/>
        <v/>
      </c>
      <c r="D53" s="34"/>
      <c r="E53" s="33" t="str">
        <f t="shared" si="9"/>
        <v/>
      </c>
      <c r="F53" s="33" t="str">
        <f t="shared" si="10"/>
        <v/>
      </c>
      <c r="G53" s="35"/>
      <c r="H53" s="35"/>
      <c r="I53" s="33"/>
      <c r="J53" s="33" t="str">
        <f t="shared" si="11"/>
        <v/>
      </c>
      <c r="K53" s="36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8"/>
    </row>
    <row r="54" spans="1:35" x14ac:dyDescent="0.3">
      <c r="A54" s="32" t="str">
        <f t="shared" si="6"/>
        <v/>
      </c>
      <c r="B54" s="33" t="str">
        <f t="shared" si="7"/>
        <v/>
      </c>
      <c r="C54" s="33" t="str">
        <f t="shared" si="8"/>
        <v/>
      </c>
      <c r="D54" s="34"/>
      <c r="E54" s="33" t="str">
        <f t="shared" si="9"/>
        <v/>
      </c>
      <c r="F54" s="33" t="str">
        <f t="shared" si="10"/>
        <v/>
      </c>
      <c r="G54" s="35"/>
      <c r="H54" s="35"/>
      <c r="I54" s="33"/>
      <c r="J54" s="33" t="str">
        <f t="shared" si="11"/>
        <v/>
      </c>
      <c r="K54" s="36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8"/>
    </row>
    <row r="55" spans="1:35" x14ac:dyDescent="0.3">
      <c r="A55" s="32" t="str">
        <f t="shared" si="6"/>
        <v/>
      </c>
      <c r="B55" s="33" t="str">
        <f t="shared" si="7"/>
        <v/>
      </c>
      <c r="C55" s="33" t="str">
        <f t="shared" si="8"/>
        <v/>
      </c>
      <c r="D55" s="34"/>
      <c r="E55" s="33" t="str">
        <f t="shared" si="9"/>
        <v/>
      </c>
      <c r="F55" s="33" t="str">
        <f t="shared" si="10"/>
        <v/>
      </c>
      <c r="G55" s="35"/>
      <c r="H55" s="35"/>
      <c r="I55" s="33"/>
      <c r="J55" s="33" t="str">
        <f t="shared" si="11"/>
        <v/>
      </c>
      <c r="K55" s="36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8"/>
    </row>
    <row r="56" spans="1:35" x14ac:dyDescent="0.3">
      <c r="A56" s="32" t="str">
        <f t="shared" si="6"/>
        <v/>
      </c>
      <c r="B56" s="33" t="str">
        <f t="shared" si="7"/>
        <v/>
      </c>
      <c r="C56" s="33" t="str">
        <f t="shared" si="8"/>
        <v/>
      </c>
      <c r="D56" s="34"/>
      <c r="E56" s="33" t="str">
        <f t="shared" si="9"/>
        <v/>
      </c>
      <c r="F56" s="33" t="str">
        <f t="shared" si="10"/>
        <v/>
      </c>
      <c r="G56" s="35"/>
      <c r="H56" s="35"/>
      <c r="I56" s="33"/>
      <c r="J56" s="33" t="str">
        <f t="shared" si="11"/>
        <v/>
      </c>
      <c r="K56" s="36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8"/>
    </row>
    <row r="57" spans="1:35" x14ac:dyDescent="0.3">
      <c r="A57" s="32" t="str">
        <f t="shared" si="6"/>
        <v/>
      </c>
      <c r="B57" s="33" t="str">
        <f t="shared" si="7"/>
        <v/>
      </c>
      <c r="C57" s="33" t="str">
        <f t="shared" si="8"/>
        <v/>
      </c>
      <c r="D57" s="34"/>
      <c r="E57" s="33" t="str">
        <f t="shared" si="9"/>
        <v/>
      </c>
      <c r="F57" s="33" t="str">
        <f t="shared" si="10"/>
        <v/>
      </c>
      <c r="G57" s="35"/>
      <c r="H57" s="35"/>
      <c r="I57" s="33"/>
      <c r="J57" s="33" t="str">
        <f t="shared" si="11"/>
        <v/>
      </c>
      <c r="K57" s="36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8"/>
    </row>
    <row r="58" spans="1:35" x14ac:dyDescent="0.3">
      <c r="A58" s="32" t="str">
        <f t="shared" si="6"/>
        <v/>
      </c>
      <c r="B58" s="33" t="str">
        <f t="shared" si="7"/>
        <v/>
      </c>
      <c r="C58" s="33" t="str">
        <f t="shared" si="8"/>
        <v/>
      </c>
      <c r="D58" s="34"/>
      <c r="E58" s="33" t="str">
        <f t="shared" si="9"/>
        <v/>
      </c>
      <c r="F58" s="33" t="str">
        <f t="shared" si="10"/>
        <v/>
      </c>
      <c r="G58" s="35"/>
      <c r="H58" s="35"/>
      <c r="I58" s="33"/>
      <c r="J58" s="33" t="str">
        <f t="shared" si="11"/>
        <v/>
      </c>
      <c r="K58" s="36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8"/>
    </row>
    <row r="59" spans="1:35" x14ac:dyDescent="0.3">
      <c r="A59" s="32" t="str">
        <f t="shared" si="6"/>
        <v/>
      </c>
      <c r="B59" s="33" t="str">
        <f t="shared" si="7"/>
        <v/>
      </c>
      <c r="C59" s="33" t="str">
        <f t="shared" si="8"/>
        <v/>
      </c>
      <c r="D59" s="34"/>
      <c r="E59" s="33" t="str">
        <f t="shared" si="9"/>
        <v/>
      </c>
      <c r="F59" s="33" t="str">
        <f t="shared" si="10"/>
        <v/>
      </c>
      <c r="G59" s="35"/>
      <c r="H59" s="35"/>
      <c r="I59" s="33"/>
      <c r="J59" s="33" t="str">
        <f t="shared" si="11"/>
        <v/>
      </c>
      <c r="K59" s="36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8"/>
    </row>
    <row r="60" spans="1:35" x14ac:dyDescent="0.3">
      <c r="A60" s="32" t="str">
        <f t="shared" si="6"/>
        <v/>
      </c>
      <c r="B60" s="33" t="str">
        <f t="shared" si="7"/>
        <v/>
      </c>
      <c r="C60" s="33" t="str">
        <f t="shared" si="8"/>
        <v/>
      </c>
      <c r="D60" s="34"/>
      <c r="E60" s="33" t="str">
        <f t="shared" si="9"/>
        <v/>
      </c>
      <c r="F60" s="33" t="str">
        <f t="shared" si="10"/>
        <v/>
      </c>
      <c r="G60" s="35"/>
      <c r="H60" s="35"/>
      <c r="I60" s="33"/>
      <c r="J60" s="33" t="str">
        <f t="shared" si="11"/>
        <v/>
      </c>
      <c r="K60" s="36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8"/>
    </row>
    <row r="61" spans="1:35" x14ac:dyDescent="0.3">
      <c r="A61" s="32" t="str">
        <f t="shared" si="6"/>
        <v/>
      </c>
      <c r="B61" s="33" t="str">
        <f t="shared" si="7"/>
        <v/>
      </c>
      <c r="C61" s="33" t="str">
        <f t="shared" si="8"/>
        <v/>
      </c>
      <c r="D61" s="34"/>
      <c r="E61" s="33" t="str">
        <f t="shared" si="9"/>
        <v/>
      </c>
      <c r="F61" s="33" t="str">
        <f t="shared" si="10"/>
        <v/>
      </c>
      <c r="G61" s="35"/>
      <c r="H61" s="35"/>
      <c r="I61" s="33"/>
      <c r="J61" s="33" t="str">
        <f t="shared" si="11"/>
        <v/>
      </c>
      <c r="K61" s="36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8"/>
    </row>
    <row r="62" spans="1:35" x14ac:dyDescent="0.3">
      <c r="A62" s="32" t="str">
        <f t="shared" si="6"/>
        <v/>
      </c>
      <c r="B62" s="33" t="str">
        <f t="shared" si="7"/>
        <v/>
      </c>
      <c r="C62" s="33" t="str">
        <f t="shared" si="8"/>
        <v/>
      </c>
      <c r="D62" s="34"/>
      <c r="E62" s="33" t="str">
        <f t="shared" si="9"/>
        <v/>
      </c>
      <c r="F62" s="33" t="str">
        <f t="shared" si="10"/>
        <v/>
      </c>
      <c r="G62" s="35"/>
      <c r="H62" s="35"/>
      <c r="I62" s="33"/>
      <c r="J62" s="33" t="str">
        <f t="shared" si="11"/>
        <v/>
      </c>
      <c r="K62" s="36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8"/>
    </row>
    <row r="63" spans="1:35" x14ac:dyDescent="0.3">
      <c r="A63" s="32" t="str">
        <f t="shared" si="6"/>
        <v/>
      </c>
      <c r="B63" s="33" t="str">
        <f t="shared" si="7"/>
        <v/>
      </c>
      <c r="C63" s="33" t="str">
        <f t="shared" si="8"/>
        <v/>
      </c>
      <c r="D63" s="34"/>
      <c r="E63" s="33" t="str">
        <f t="shared" si="9"/>
        <v/>
      </c>
      <c r="F63" s="33" t="str">
        <f t="shared" si="10"/>
        <v/>
      </c>
      <c r="G63" s="35"/>
      <c r="H63" s="35"/>
      <c r="I63" s="33"/>
      <c r="J63" s="33" t="str">
        <f t="shared" si="11"/>
        <v/>
      </c>
      <c r="K63" s="36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8"/>
    </row>
    <row r="64" spans="1:35" x14ac:dyDescent="0.3">
      <c r="A64" s="32" t="str">
        <f t="shared" si="6"/>
        <v/>
      </c>
      <c r="B64" s="33" t="str">
        <f t="shared" si="7"/>
        <v/>
      </c>
      <c r="C64" s="33" t="str">
        <f t="shared" si="8"/>
        <v/>
      </c>
      <c r="D64" s="34"/>
      <c r="E64" s="33" t="str">
        <f t="shared" si="9"/>
        <v/>
      </c>
      <c r="F64" s="33" t="str">
        <f t="shared" si="10"/>
        <v/>
      </c>
      <c r="G64" s="35"/>
      <c r="H64" s="35"/>
      <c r="I64" s="33"/>
      <c r="J64" s="33" t="str">
        <f t="shared" si="11"/>
        <v/>
      </c>
      <c r="K64" s="36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8"/>
    </row>
    <row r="65" spans="1:35" x14ac:dyDescent="0.3">
      <c r="A65" s="32" t="str">
        <f t="shared" si="6"/>
        <v/>
      </c>
      <c r="B65" s="33" t="str">
        <f t="shared" si="7"/>
        <v/>
      </c>
      <c r="C65" s="33" t="str">
        <f t="shared" si="8"/>
        <v/>
      </c>
      <c r="D65" s="34"/>
      <c r="E65" s="33" t="str">
        <f t="shared" si="9"/>
        <v/>
      </c>
      <c r="F65" s="33" t="str">
        <f t="shared" si="10"/>
        <v/>
      </c>
      <c r="G65" s="35"/>
      <c r="H65" s="35"/>
      <c r="I65" s="33"/>
      <c r="J65" s="33" t="str">
        <f t="shared" si="11"/>
        <v/>
      </c>
      <c r="K65" s="36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8"/>
    </row>
    <row r="66" spans="1:35" x14ac:dyDescent="0.3">
      <c r="A66" s="32" t="str">
        <f t="shared" si="6"/>
        <v/>
      </c>
      <c r="B66" s="33" t="str">
        <f t="shared" si="7"/>
        <v/>
      </c>
      <c r="C66" s="33" t="str">
        <f t="shared" si="8"/>
        <v/>
      </c>
      <c r="D66" s="34"/>
      <c r="E66" s="33" t="str">
        <f t="shared" si="9"/>
        <v/>
      </c>
      <c r="F66" s="33" t="str">
        <f t="shared" si="10"/>
        <v/>
      </c>
      <c r="G66" s="35"/>
      <c r="H66" s="35"/>
      <c r="I66" s="33"/>
      <c r="J66" s="33" t="str">
        <f t="shared" si="11"/>
        <v/>
      </c>
      <c r="K66" s="36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8"/>
    </row>
    <row r="67" spans="1:35" x14ac:dyDescent="0.3">
      <c r="A67" s="32" t="str">
        <f t="shared" si="6"/>
        <v/>
      </c>
      <c r="B67" s="33" t="str">
        <f t="shared" si="7"/>
        <v/>
      </c>
      <c r="C67" s="33" t="str">
        <f t="shared" si="8"/>
        <v/>
      </c>
      <c r="D67" s="34"/>
      <c r="E67" s="33" t="str">
        <f t="shared" si="9"/>
        <v/>
      </c>
      <c r="F67" s="33" t="str">
        <f t="shared" si="10"/>
        <v/>
      </c>
      <c r="G67" s="35"/>
      <c r="H67" s="35"/>
      <c r="I67" s="33"/>
      <c r="J67" s="33" t="str">
        <f t="shared" si="11"/>
        <v/>
      </c>
      <c r="K67" s="36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8"/>
    </row>
    <row r="68" spans="1:35" x14ac:dyDescent="0.3">
      <c r="A68" s="32" t="str">
        <f t="shared" si="6"/>
        <v/>
      </c>
      <c r="B68" s="33" t="str">
        <f t="shared" si="7"/>
        <v/>
      </c>
      <c r="C68" s="33" t="str">
        <f t="shared" si="8"/>
        <v/>
      </c>
      <c r="D68" s="34"/>
      <c r="E68" s="33" t="str">
        <f t="shared" si="9"/>
        <v/>
      </c>
      <c r="F68" s="33" t="str">
        <f t="shared" si="10"/>
        <v/>
      </c>
      <c r="G68" s="35"/>
      <c r="H68" s="35"/>
      <c r="I68" s="33"/>
      <c r="J68" s="33" t="str">
        <f t="shared" si="11"/>
        <v/>
      </c>
      <c r="K68" s="36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/>
    </row>
    <row r="69" spans="1:35" x14ac:dyDescent="0.3">
      <c r="A69" s="32" t="str">
        <f t="shared" si="6"/>
        <v/>
      </c>
      <c r="B69" s="33" t="str">
        <f t="shared" si="7"/>
        <v/>
      </c>
      <c r="C69" s="33" t="str">
        <f t="shared" si="8"/>
        <v/>
      </c>
      <c r="D69" s="34"/>
      <c r="E69" s="33" t="str">
        <f t="shared" si="9"/>
        <v/>
      </c>
      <c r="F69" s="33" t="str">
        <f t="shared" si="10"/>
        <v/>
      </c>
      <c r="G69" s="35"/>
      <c r="H69" s="35"/>
      <c r="I69" s="33"/>
      <c r="J69" s="33" t="str">
        <f t="shared" si="11"/>
        <v/>
      </c>
      <c r="K69" s="36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8"/>
    </row>
    <row r="70" spans="1:35" x14ac:dyDescent="0.3">
      <c r="A70" s="32" t="str">
        <f t="shared" si="6"/>
        <v/>
      </c>
      <c r="B70" s="33" t="str">
        <f t="shared" si="7"/>
        <v/>
      </c>
      <c r="C70" s="33" t="str">
        <f t="shared" si="8"/>
        <v/>
      </c>
      <c r="D70" s="34"/>
      <c r="E70" s="33" t="str">
        <f t="shared" si="9"/>
        <v/>
      </c>
      <c r="F70" s="33" t="str">
        <f t="shared" si="10"/>
        <v/>
      </c>
      <c r="G70" s="35"/>
      <c r="H70" s="35"/>
      <c r="I70" s="33"/>
      <c r="J70" s="33" t="str">
        <f t="shared" si="11"/>
        <v/>
      </c>
      <c r="K70" s="36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8"/>
    </row>
    <row r="71" spans="1:35" x14ac:dyDescent="0.3">
      <c r="A71" s="32" t="str">
        <f t="shared" si="6"/>
        <v/>
      </c>
      <c r="B71" s="33" t="str">
        <f t="shared" si="7"/>
        <v/>
      </c>
      <c r="C71" s="33" t="str">
        <f t="shared" si="8"/>
        <v/>
      </c>
      <c r="D71" s="34"/>
      <c r="E71" s="33" t="str">
        <f t="shared" si="9"/>
        <v/>
      </c>
      <c r="F71" s="33" t="str">
        <f t="shared" si="10"/>
        <v/>
      </c>
      <c r="G71" s="35"/>
      <c r="H71" s="35"/>
      <c r="I71" s="33"/>
      <c r="J71" s="33" t="str">
        <f t="shared" si="11"/>
        <v/>
      </c>
      <c r="K71" s="36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8"/>
    </row>
    <row r="72" spans="1:35" x14ac:dyDescent="0.3">
      <c r="A72" s="32" t="str">
        <f t="shared" si="6"/>
        <v/>
      </c>
      <c r="B72" s="33" t="str">
        <f t="shared" si="7"/>
        <v/>
      </c>
      <c r="C72" s="33" t="str">
        <f t="shared" si="8"/>
        <v/>
      </c>
      <c r="D72" s="34"/>
      <c r="E72" s="33" t="str">
        <f t="shared" si="9"/>
        <v/>
      </c>
      <c r="F72" s="33" t="str">
        <f t="shared" si="10"/>
        <v/>
      </c>
      <c r="G72" s="35"/>
      <c r="H72" s="35"/>
      <c r="I72" s="33"/>
      <c r="J72" s="33" t="str">
        <f t="shared" si="11"/>
        <v/>
      </c>
      <c r="K72" s="36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8"/>
    </row>
    <row r="73" spans="1:35" x14ac:dyDescent="0.3">
      <c r="A73" s="32" t="str">
        <f t="shared" si="6"/>
        <v/>
      </c>
      <c r="B73" s="33" t="str">
        <f t="shared" si="7"/>
        <v/>
      </c>
      <c r="C73" s="33" t="str">
        <f t="shared" si="8"/>
        <v/>
      </c>
      <c r="D73" s="34"/>
      <c r="E73" s="33" t="str">
        <f t="shared" si="9"/>
        <v/>
      </c>
      <c r="F73" s="33" t="str">
        <f t="shared" si="10"/>
        <v/>
      </c>
      <c r="G73" s="35"/>
      <c r="H73" s="35"/>
      <c r="I73" s="33"/>
      <c r="J73" s="33" t="str">
        <f t="shared" si="11"/>
        <v/>
      </c>
      <c r="K73" s="36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8"/>
    </row>
    <row r="74" spans="1:35" x14ac:dyDescent="0.3">
      <c r="A74" s="32" t="str">
        <f t="shared" si="6"/>
        <v/>
      </c>
      <c r="B74" s="33" t="str">
        <f t="shared" si="7"/>
        <v/>
      </c>
      <c r="C74" s="33" t="str">
        <f t="shared" si="8"/>
        <v/>
      </c>
      <c r="D74" s="34"/>
      <c r="E74" s="33" t="str">
        <f t="shared" si="9"/>
        <v/>
      </c>
      <c r="F74" s="33" t="str">
        <f t="shared" si="10"/>
        <v/>
      </c>
      <c r="G74" s="35"/>
      <c r="H74" s="35"/>
      <c r="I74" s="33"/>
      <c r="J74" s="33" t="str">
        <f t="shared" si="11"/>
        <v/>
      </c>
      <c r="K74" s="36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8"/>
    </row>
    <row r="75" spans="1:35" x14ac:dyDescent="0.3">
      <c r="A75" s="32" t="str">
        <f t="shared" si="6"/>
        <v/>
      </c>
      <c r="B75" s="33" t="str">
        <f t="shared" si="7"/>
        <v/>
      </c>
      <c r="C75" s="33" t="str">
        <f t="shared" si="8"/>
        <v/>
      </c>
      <c r="D75" s="34"/>
      <c r="E75" s="33" t="str">
        <f t="shared" si="9"/>
        <v/>
      </c>
      <c r="F75" s="33" t="str">
        <f t="shared" si="10"/>
        <v/>
      </c>
      <c r="G75" s="35"/>
      <c r="H75" s="35"/>
      <c r="I75" s="33"/>
      <c r="J75" s="33" t="str">
        <f t="shared" si="11"/>
        <v/>
      </c>
      <c r="K75" s="36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8"/>
    </row>
    <row r="76" spans="1:35" x14ac:dyDescent="0.3">
      <c r="A76" s="32" t="str">
        <f t="shared" si="6"/>
        <v/>
      </c>
      <c r="B76" s="33" t="str">
        <f t="shared" si="7"/>
        <v/>
      </c>
      <c r="C76" s="33" t="str">
        <f t="shared" si="8"/>
        <v/>
      </c>
      <c r="D76" s="34"/>
      <c r="E76" s="33" t="str">
        <f t="shared" si="9"/>
        <v/>
      </c>
      <c r="F76" s="33" t="str">
        <f t="shared" si="10"/>
        <v/>
      </c>
      <c r="G76" s="35"/>
      <c r="H76" s="35"/>
      <c r="I76" s="33"/>
      <c r="J76" s="33" t="str">
        <f t="shared" si="11"/>
        <v/>
      </c>
      <c r="K76" s="36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8"/>
    </row>
    <row r="77" spans="1:35" x14ac:dyDescent="0.3">
      <c r="A77" s="32" t="str">
        <f t="shared" si="6"/>
        <v/>
      </c>
      <c r="B77" s="33" t="str">
        <f t="shared" si="7"/>
        <v/>
      </c>
      <c r="C77" s="33" t="str">
        <f t="shared" si="8"/>
        <v/>
      </c>
      <c r="D77" s="34"/>
      <c r="E77" s="33" t="str">
        <f t="shared" si="9"/>
        <v/>
      </c>
      <c r="F77" s="33" t="str">
        <f t="shared" si="10"/>
        <v/>
      </c>
      <c r="G77" s="35"/>
      <c r="H77" s="35"/>
      <c r="I77" s="33"/>
      <c r="J77" s="33" t="str">
        <f t="shared" si="11"/>
        <v/>
      </c>
      <c r="K77" s="36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8"/>
    </row>
    <row r="78" spans="1:35" x14ac:dyDescent="0.3">
      <c r="A78" s="32" t="str">
        <f t="shared" si="6"/>
        <v/>
      </c>
      <c r="B78" s="33" t="str">
        <f t="shared" si="7"/>
        <v/>
      </c>
      <c r="C78" s="33" t="str">
        <f t="shared" si="8"/>
        <v/>
      </c>
      <c r="D78" s="34"/>
      <c r="E78" s="33" t="str">
        <f t="shared" si="9"/>
        <v/>
      </c>
      <c r="F78" s="33" t="str">
        <f t="shared" si="10"/>
        <v/>
      </c>
      <c r="G78" s="35"/>
      <c r="H78" s="35"/>
      <c r="I78" s="33"/>
      <c r="J78" s="33" t="str">
        <f t="shared" si="11"/>
        <v/>
      </c>
      <c r="K78" s="36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8"/>
    </row>
    <row r="79" spans="1:35" x14ac:dyDescent="0.3">
      <c r="A79" s="32" t="str">
        <f t="shared" si="6"/>
        <v/>
      </c>
      <c r="B79" s="33" t="str">
        <f t="shared" si="7"/>
        <v/>
      </c>
      <c r="C79" s="33" t="str">
        <f t="shared" si="8"/>
        <v/>
      </c>
      <c r="D79" s="34"/>
      <c r="E79" s="33" t="str">
        <f t="shared" si="9"/>
        <v/>
      </c>
      <c r="F79" s="33" t="str">
        <f t="shared" si="10"/>
        <v/>
      </c>
      <c r="G79" s="35"/>
      <c r="H79" s="35"/>
      <c r="I79" s="33"/>
      <c r="J79" s="33" t="str">
        <f t="shared" si="11"/>
        <v/>
      </c>
      <c r="K79" s="36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8"/>
    </row>
    <row r="80" spans="1:35" x14ac:dyDescent="0.3">
      <c r="A80" s="32" t="str">
        <f t="shared" si="6"/>
        <v/>
      </c>
      <c r="B80" s="33" t="str">
        <f t="shared" si="7"/>
        <v/>
      </c>
      <c r="C80" s="33" t="str">
        <f t="shared" si="8"/>
        <v/>
      </c>
      <c r="D80" s="34"/>
      <c r="E80" s="33" t="str">
        <f t="shared" si="9"/>
        <v/>
      </c>
      <c r="F80" s="33" t="str">
        <f t="shared" si="10"/>
        <v/>
      </c>
      <c r="G80" s="35"/>
      <c r="H80" s="35"/>
      <c r="I80" s="33"/>
      <c r="J80" s="33" t="str">
        <f t="shared" si="11"/>
        <v/>
      </c>
      <c r="K80" s="36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8"/>
    </row>
    <row r="81" spans="1:35" x14ac:dyDescent="0.3">
      <c r="A81" s="32" t="str">
        <f t="shared" ref="A81:A144" si="12">IF($K81="", "", ROW()-15)</f>
        <v/>
      </c>
      <c r="B81" s="33" t="str">
        <f t="shared" ref="B81:B144" si="13">IFERROR(IF(ISNUMBER(SEARCH("Q", $K81)), "Q", MID(RIGHT($J81, 4), 1, 1)), "")</f>
        <v/>
      </c>
      <c r="C81" s="33" t="str">
        <f t="shared" ref="C81:C144" si="14">IFERROR(IF(ISNUMBER(SEARCH("Q", $K81)), LEFT($K81, LEN($K81)-15), LEFT($K81, LEN($K81)-8)), "")</f>
        <v/>
      </c>
      <c r="D81" s="34"/>
      <c r="E81" s="33" t="str">
        <f t="shared" ref="E81:E144" si="15">IFERROR(IF($F81="", "", IF($F81="01", "최초", "추가")), " ")</f>
        <v/>
      </c>
      <c r="F81" s="33" t="str">
        <f t="shared" ref="F81:F144" si="16">IFERROR(IF(ISNUMBER(SEARCH("Q", $K81)), MID(RIGHT($K81, 9), 1, 2), RIGHT($K81, 2)), "")</f>
        <v/>
      </c>
      <c r="G81" s="35"/>
      <c r="H81" s="35"/>
      <c r="I81" s="33"/>
      <c r="J81" s="33" t="str">
        <f t="shared" ref="J81:J144" si="17">IFERROR(IF(ISNUMBER(SEARCH("Q", $K81)), LEFT($K81, LEN($K81)-10), LEFT($K81, LEN($K81)-3)), "")</f>
        <v/>
      </c>
      <c r="K81" s="36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8"/>
    </row>
    <row r="82" spans="1:35" x14ac:dyDescent="0.3">
      <c r="A82" s="32" t="str">
        <f t="shared" si="12"/>
        <v/>
      </c>
      <c r="B82" s="33" t="str">
        <f t="shared" si="13"/>
        <v/>
      </c>
      <c r="C82" s="33" t="str">
        <f t="shared" si="14"/>
        <v/>
      </c>
      <c r="D82" s="34"/>
      <c r="E82" s="33" t="str">
        <f t="shared" si="15"/>
        <v/>
      </c>
      <c r="F82" s="33" t="str">
        <f t="shared" si="16"/>
        <v/>
      </c>
      <c r="G82" s="35"/>
      <c r="H82" s="35"/>
      <c r="I82" s="33"/>
      <c r="J82" s="33" t="str">
        <f t="shared" si="17"/>
        <v/>
      </c>
      <c r="K82" s="36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8"/>
    </row>
    <row r="83" spans="1:35" x14ac:dyDescent="0.3">
      <c r="A83" s="32" t="str">
        <f t="shared" si="12"/>
        <v/>
      </c>
      <c r="B83" s="33" t="str">
        <f t="shared" si="13"/>
        <v/>
      </c>
      <c r="C83" s="33" t="str">
        <f t="shared" si="14"/>
        <v/>
      </c>
      <c r="D83" s="34"/>
      <c r="E83" s="33" t="str">
        <f t="shared" si="15"/>
        <v/>
      </c>
      <c r="F83" s="33" t="str">
        <f t="shared" si="16"/>
        <v/>
      </c>
      <c r="G83" s="35"/>
      <c r="H83" s="35"/>
      <c r="I83" s="33"/>
      <c r="J83" s="33" t="str">
        <f t="shared" si="17"/>
        <v/>
      </c>
      <c r="K83" s="36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8"/>
    </row>
    <row r="84" spans="1:35" x14ac:dyDescent="0.3">
      <c r="A84" s="32" t="str">
        <f t="shared" si="12"/>
        <v/>
      </c>
      <c r="B84" s="33" t="str">
        <f t="shared" si="13"/>
        <v/>
      </c>
      <c r="C84" s="33" t="str">
        <f t="shared" si="14"/>
        <v/>
      </c>
      <c r="D84" s="34"/>
      <c r="E84" s="33" t="str">
        <f t="shared" si="15"/>
        <v/>
      </c>
      <c r="F84" s="33" t="str">
        <f t="shared" si="16"/>
        <v/>
      </c>
      <c r="G84" s="35"/>
      <c r="H84" s="35"/>
      <c r="I84" s="33"/>
      <c r="J84" s="33" t="str">
        <f t="shared" si="17"/>
        <v/>
      </c>
      <c r="K84" s="36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8"/>
    </row>
    <row r="85" spans="1:35" x14ac:dyDescent="0.3">
      <c r="A85" s="32" t="str">
        <f t="shared" si="12"/>
        <v/>
      </c>
      <c r="B85" s="33" t="str">
        <f t="shared" si="13"/>
        <v/>
      </c>
      <c r="C85" s="33" t="str">
        <f t="shared" si="14"/>
        <v/>
      </c>
      <c r="D85" s="34"/>
      <c r="E85" s="33" t="str">
        <f t="shared" si="15"/>
        <v/>
      </c>
      <c r="F85" s="33" t="str">
        <f t="shared" si="16"/>
        <v/>
      </c>
      <c r="G85" s="35"/>
      <c r="H85" s="35"/>
      <c r="I85" s="33"/>
      <c r="J85" s="33" t="str">
        <f t="shared" si="17"/>
        <v/>
      </c>
      <c r="K85" s="36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8"/>
    </row>
    <row r="86" spans="1:35" x14ac:dyDescent="0.3">
      <c r="A86" s="32" t="str">
        <f t="shared" si="12"/>
        <v/>
      </c>
      <c r="B86" s="33" t="str">
        <f t="shared" si="13"/>
        <v/>
      </c>
      <c r="C86" s="33" t="str">
        <f t="shared" si="14"/>
        <v/>
      </c>
      <c r="D86" s="34"/>
      <c r="E86" s="33" t="str">
        <f t="shared" si="15"/>
        <v/>
      </c>
      <c r="F86" s="33" t="str">
        <f t="shared" si="16"/>
        <v/>
      </c>
      <c r="G86" s="35"/>
      <c r="H86" s="35"/>
      <c r="I86" s="33"/>
      <c r="J86" s="33" t="str">
        <f t="shared" si="17"/>
        <v/>
      </c>
      <c r="K86" s="36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8"/>
    </row>
    <row r="87" spans="1:35" x14ac:dyDescent="0.3">
      <c r="A87" s="32" t="str">
        <f t="shared" si="12"/>
        <v/>
      </c>
      <c r="B87" s="33" t="str">
        <f t="shared" si="13"/>
        <v/>
      </c>
      <c r="C87" s="33" t="str">
        <f t="shared" si="14"/>
        <v/>
      </c>
      <c r="D87" s="34"/>
      <c r="E87" s="33" t="str">
        <f t="shared" si="15"/>
        <v/>
      </c>
      <c r="F87" s="33" t="str">
        <f t="shared" si="16"/>
        <v/>
      </c>
      <c r="G87" s="35"/>
      <c r="H87" s="35"/>
      <c r="I87" s="33"/>
      <c r="J87" s="33" t="str">
        <f t="shared" si="17"/>
        <v/>
      </c>
      <c r="K87" s="36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8"/>
    </row>
    <row r="88" spans="1:35" x14ac:dyDescent="0.3">
      <c r="A88" s="32" t="str">
        <f t="shared" si="12"/>
        <v/>
      </c>
      <c r="B88" s="33" t="str">
        <f t="shared" si="13"/>
        <v/>
      </c>
      <c r="C88" s="33" t="str">
        <f t="shared" si="14"/>
        <v/>
      </c>
      <c r="D88" s="34"/>
      <c r="E88" s="33" t="str">
        <f t="shared" si="15"/>
        <v/>
      </c>
      <c r="F88" s="33" t="str">
        <f t="shared" si="16"/>
        <v/>
      </c>
      <c r="G88" s="35"/>
      <c r="H88" s="35"/>
      <c r="I88" s="33"/>
      <c r="J88" s="33" t="str">
        <f t="shared" si="17"/>
        <v/>
      </c>
      <c r="K88" s="36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8"/>
    </row>
    <row r="89" spans="1:35" x14ac:dyDescent="0.3">
      <c r="A89" s="32" t="str">
        <f t="shared" si="12"/>
        <v/>
      </c>
      <c r="B89" s="33" t="str">
        <f t="shared" si="13"/>
        <v/>
      </c>
      <c r="C89" s="33" t="str">
        <f t="shared" si="14"/>
        <v/>
      </c>
      <c r="D89" s="34"/>
      <c r="E89" s="33" t="str">
        <f t="shared" si="15"/>
        <v/>
      </c>
      <c r="F89" s="33" t="str">
        <f t="shared" si="16"/>
        <v/>
      </c>
      <c r="G89" s="35"/>
      <c r="H89" s="35"/>
      <c r="I89" s="33"/>
      <c r="J89" s="33" t="str">
        <f t="shared" si="17"/>
        <v/>
      </c>
      <c r="K89" s="36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8"/>
    </row>
    <row r="90" spans="1:35" x14ac:dyDescent="0.3">
      <c r="A90" s="32" t="str">
        <f t="shared" si="12"/>
        <v/>
      </c>
      <c r="B90" s="33" t="str">
        <f t="shared" si="13"/>
        <v/>
      </c>
      <c r="C90" s="33" t="str">
        <f t="shared" si="14"/>
        <v/>
      </c>
      <c r="D90" s="34"/>
      <c r="E90" s="33" t="str">
        <f t="shared" si="15"/>
        <v/>
      </c>
      <c r="F90" s="33" t="str">
        <f t="shared" si="16"/>
        <v/>
      </c>
      <c r="G90" s="35"/>
      <c r="H90" s="35"/>
      <c r="I90" s="33"/>
      <c r="J90" s="33" t="str">
        <f t="shared" si="17"/>
        <v/>
      </c>
      <c r="K90" s="36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8"/>
    </row>
    <row r="91" spans="1:35" x14ac:dyDescent="0.3">
      <c r="A91" s="32" t="str">
        <f t="shared" si="12"/>
        <v/>
      </c>
      <c r="B91" s="33" t="str">
        <f t="shared" si="13"/>
        <v/>
      </c>
      <c r="C91" s="33" t="str">
        <f t="shared" si="14"/>
        <v/>
      </c>
      <c r="D91" s="34"/>
      <c r="E91" s="33" t="str">
        <f t="shared" si="15"/>
        <v/>
      </c>
      <c r="F91" s="33" t="str">
        <f t="shared" si="16"/>
        <v/>
      </c>
      <c r="G91" s="35"/>
      <c r="H91" s="35"/>
      <c r="I91" s="33"/>
      <c r="J91" s="33" t="str">
        <f t="shared" si="17"/>
        <v/>
      </c>
      <c r="K91" s="36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8"/>
    </row>
    <row r="92" spans="1:35" x14ac:dyDescent="0.3">
      <c r="A92" s="32" t="str">
        <f t="shared" si="12"/>
        <v/>
      </c>
      <c r="B92" s="33" t="str">
        <f t="shared" si="13"/>
        <v/>
      </c>
      <c r="C92" s="33" t="str">
        <f t="shared" si="14"/>
        <v/>
      </c>
      <c r="D92" s="34"/>
      <c r="E92" s="33" t="str">
        <f t="shared" si="15"/>
        <v/>
      </c>
      <c r="F92" s="33" t="str">
        <f t="shared" si="16"/>
        <v/>
      </c>
      <c r="G92" s="35"/>
      <c r="H92" s="35"/>
      <c r="I92" s="33"/>
      <c r="J92" s="33" t="str">
        <f t="shared" si="17"/>
        <v/>
      </c>
      <c r="K92" s="36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8"/>
    </row>
    <row r="93" spans="1:35" x14ac:dyDescent="0.3">
      <c r="A93" s="32" t="str">
        <f t="shared" si="12"/>
        <v/>
      </c>
      <c r="B93" s="33" t="str">
        <f t="shared" si="13"/>
        <v/>
      </c>
      <c r="C93" s="33" t="str">
        <f t="shared" si="14"/>
        <v/>
      </c>
      <c r="D93" s="34"/>
      <c r="E93" s="33" t="str">
        <f t="shared" si="15"/>
        <v/>
      </c>
      <c r="F93" s="33" t="str">
        <f t="shared" si="16"/>
        <v/>
      </c>
      <c r="G93" s="35"/>
      <c r="H93" s="35"/>
      <c r="I93" s="33"/>
      <c r="J93" s="33" t="str">
        <f t="shared" si="17"/>
        <v/>
      </c>
      <c r="K93" s="36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8"/>
    </row>
    <row r="94" spans="1:35" x14ac:dyDescent="0.3">
      <c r="A94" s="32" t="str">
        <f t="shared" si="12"/>
        <v/>
      </c>
      <c r="B94" s="33" t="str">
        <f t="shared" si="13"/>
        <v/>
      </c>
      <c r="C94" s="33" t="str">
        <f t="shared" si="14"/>
        <v/>
      </c>
      <c r="D94" s="34"/>
      <c r="E94" s="33" t="str">
        <f t="shared" si="15"/>
        <v/>
      </c>
      <c r="F94" s="33" t="str">
        <f t="shared" si="16"/>
        <v/>
      </c>
      <c r="G94" s="35"/>
      <c r="H94" s="35"/>
      <c r="I94" s="33"/>
      <c r="J94" s="33" t="str">
        <f t="shared" si="17"/>
        <v/>
      </c>
      <c r="K94" s="36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8"/>
    </row>
    <row r="95" spans="1:35" x14ac:dyDescent="0.3">
      <c r="A95" s="32" t="str">
        <f t="shared" si="12"/>
        <v/>
      </c>
      <c r="B95" s="33" t="str">
        <f t="shared" si="13"/>
        <v/>
      </c>
      <c r="C95" s="33" t="str">
        <f t="shared" si="14"/>
        <v/>
      </c>
      <c r="D95" s="34"/>
      <c r="E95" s="33" t="str">
        <f t="shared" si="15"/>
        <v/>
      </c>
      <c r="F95" s="33" t="str">
        <f t="shared" si="16"/>
        <v/>
      </c>
      <c r="G95" s="35"/>
      <c r="H95" s="35"/>
      <c r="I95" s="33"/>
      <c r="J95" s="33" t="str">
        <f t="shared" si="17"/>
        <v/>
      </c>
      <c r="K95" s="36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8"/>
    </row>
    <row r="96" spans="1:35" x14ac:dyDescent="0.3">
      <c r="A96" s="32" t="str">
        <f t="shared" si="12"/>
        <v/>
      </c>
      <c r="B96" s="33" t="str">
        <f t="shared" si="13"/>
        <v/>
      </c>
      <c r="C96" s="33" t="str">
        <f t="shared" si="14"/>
        <v/>
      </c>
      <c r="D96" s="34"/>
      <c r="E96" s="33" t="str">
        <f t="shared" si="15"/>
        <v/>
      </c>
      <c r="F96" s="33" t="str">
        <f t="shared" si="16"/>
        <v/>
      </c>
      <c r="G96" s="35"/>
      <c r="H96" s="35"/>
      <c r="I96" s="33"/>
      <c r="J96" s="33" t="str">
        <f t="shared" si="17"/>
        <v/>
      </c>
      <c r="K96" s="36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8"/>
    </row>
    <row r="97" spans="1:35" x14ac:dyDescent="0.3">
      <c r="A97" s="32" t="str">
        <f t="shared" si="12"/>
        <v/>
      </c>
      <c r="B97" s="33" t="str">
        <f t="shared" si="13"/>
        <v/>
      </c>
      <c r="C97" s="33" t="str">
        <f t="shared" si="14"/>
        <v/>
      </c>
      <c r="D97" s="34"/>
      <c r="E97" s="33" t="str">
        <f t="shared" si="15"/>
        <v/>
      </c>
      <c r="F97" s="33" t="str">
        <f t="shared" si="16"/>
        <v/>
      </c>
      <c r="G97" s="35"/>
      <c r="H97" s="35"/>
      <c r="I97" s="33"/>
      <c r="J97" s="33" t="str">
        <f t="shared" si="17"/>
        <v/>
      </c>
      <c r="K97" s="36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8"/>
    </row>
    <row r="98" spans="1:35" x14ac:dyDescent="0.3">
      <c r="A98" s="32" t="str">
        <f t="shared" si="12"/>
        <v/>
      </c>
      <c r="B98" s="33" t="str">
        <f t="shared" si="13"/>
        <v/>
      </c>
      <c r="C98" s="33" t="str">
        <f t="shared" si="14"/>
        <v/>
      </c>
      <c r="D98" s="34"/>
      <c r="E98" s="33" t="str">
        <f t="shared" si="15"/>
        <v/>
      </c>
      <c r="F98" s="33" t="str">
        <f t="shared" si="16"/>
        <v/>
      </c>
      <c r="G98" s="35"/>
      <c r="H98" s="35"/>
      <c r="I98" s="33"/>
      <c r="J98" s="33" t="str">
        <f t="shared" si="17"/>
        <v/>
      </c>
      <c r="K98" s="36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8"/>
    </row>
    <row r="99" spans="1:35" x14ac:dyDescent="0.3">
      <c r="A99" s="32" t="str">
        <f t="shared" si="12"/>
        <v/>
      </c>
      <c r="B99" s="33" t="str">
        <f t="shared" si="13"/>
        <v/>
      </c>
      <c r="C99" s="33" t="str">
        <f t="shared" si="14"/>
        <v/>
      </c>
      <c r="D99" s="34"/>
      <c r="E99" s="33" t="str">
        <f t="shared" si="15"/>
        <v/>
      </c>
      <c r="F99" s="33" t="str">
        <f t="shared" si="16"/>
        <v/>
      </c>
      <c r="G99" s="35"/>
      <c r="H99" s="35"/>
      <c r="I99" s="33"/>
      <c r="J99" s="33" t="str">
        <f t="shared" si="17"/>
        <v/>
      </c>
      <c r="K99" s="36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8"/>
    </row>
    <row r="100" spans="1:35" x14ac:dyDescent="0.3">
      <c r="A100" s="32" t="str">
        <f t="shared" si="12"/>
        <v/>
      </c>
      <c r="B100" s="33" t="str">
        <f t="shared" si="13"/>
        <v/>
      </c>
      <c r="C100" s="33" t="str">
        <f t="shared" si="14"/>
        <v/>
      </c>
      <c r="D100" s="34"/>
      <c r="E100" s="33" t="str">
        <f t="shared" si="15"/>
        <v/>
      </c>
      <c r="F100" s="33" t="str">
        <f t="shared" si="16"/>
        <v/>
      </c>
      <c r="G100" s="35"/>
      <c r="H100" s="35"/>
      <c r="I100" s="33"/>
      <c r="J100" s="33" t="str">
        <f t="shared" si="17"/>
        <v/>
      </c>
      <c r="K100" s="36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8"/>
    </row>
    <row r="101" spans="1:35" x14ac:dyDescent="0.3">
      <c r="A101" s="32" t="str">
        <f t="shared" si="12"/>
        <v/>
      </c>
      <c r="B101" s="33" t="str">
        <f t="shared" si="13"/>
        <v/>
      </c>
      <c r="C101" s="33" t="str">
        <f t="shared" si="14"/>
        <v/>
      </c>
      <c r="D101" s="34"/>
      <c r="E101" s="33" t="str">
        <f t="shared" si="15"/>
        <v/>
      </c>
      <c r="F101" s="33" t="str">
        <f t="shared" si="16"/>
        <v/>
      </c>
      <c r="G101" s="35"/>
      <c r="H101" s="35"/>
      <c r="I101" s="33"/>
      <c r="J101" s="33" t="str">
        <f t="shared" si="17"/>
        <v/>
      </c>
      <c r="K101" s="36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8"/>
    </row>
    <row r="102" spans="1:35" x14ac:dyDescent="0.3">
      <c r="A102" s="32" t="str">
        <f t="shared" si="12"/>
        <v/>
      </c>
      <c r="B102" s="33" t="str">
        <f t="shared" si="13"/>
        <v/>
      </c>
      <c r="C102" s="33" t="str">
        <f t="shared" si="14"/>
        <v/>
      </c>
      <c r="D102" s="34"/>
      <c r="E102" s="33" t="str">
        <f t="shared" si="15"/>
        <v/>
      </c>
      <c r="F102" s="33" t="str">
        <f t="shared" si="16"/>
        <v/>
      </c>
      <c r="G102" s="35"/>
      <c r="H102" s="35"/>
      <c r="I102" s="33"/>
      <c r="J102" s="33" t="str">
        <f t="shared" si="17"/>
        <v/>
      </c>
      <c r="K102" s="36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8"/>
    </row>
    <row r="103" spans="1:35" x14ac:dyDescent="0.3">
      <c r="A103" s="32" t="str">
        <f t="shared" si="12"/>
        <v/>
      </c>
      <c r="B103" s="33" t="str">
        <f t="shared" si="13"/>
        <v/>
      </c>
      <c r="C103" s="33" t="str">
        <f t="shared" si="14"/>
        <v/>
      </c>
      <c r="D103" s="34"/>
      <c r="E103" s="33" t="str">
        <f t="shared" si="15"/>
        <v/>
      </c>
      <c r="F103" s="33" t="str">
        <f t="shared" si="16"/>
        <v/>
      </c>
      <c r="G103" s="35"/>
      <c r="H103" s="35"/>
      <c r="I103" s="33"/>
      <c r="J103" s="33" t="str">
        <f t="shared" si="17"/>
        <v/>
      </c>
      <c r="K103" s="36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8"/>
    </row>
    <row r="104" spans="1:35" x14ac:dyDescent="0.3">
      <c r="A104" s="32" t="str">
        <f t="shared" si="12"/>
        <v/>
      </c>
      <c r="B104" s="33" t="str">
        <f t="shared" si="13"/>
        <v/>
      </c>
      <c r="C104" s="33" t="str">
        <f t="shared" si="14"/>
        <v/>
      </c>
      <c r="D104" s="34"/>
      <c r="E104" s="33" t="str">
        <f t="shared" si="15"/>
        <v/>
      </c>
      <c r="F104" s="33" t="str">
        <f t="shared" si="16"/>
        <v/>
      </c>
      <c r="G104" s="35"/>
      <c r="H104" s="35"/>
      <c r="I104" s="33"/>
      <c r="J104" s="33" t="str">
        <f t="shared" si="17"/>
        <v/>
      </c>
      <c r="K104" s="36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8"/>
    </row>
    <row r="105" spans="1:35" x14ac:dyDescent="0.3">
      <c r="A105" s="32" t="str">
        <f t="shared" si="12"/>
        <v/>
      </c>
      <c r="B105" s="33" t="str">
        <f t="shared" si="13"/>
        <v/>
      </c>
      <c r="C105" s="33" t="str">
        <f t="shared" si="14"/>
        <v/>
      </c>
      <c r="D105" s="34"/>
      <c r="E105" s="33" t="str">
        <f t="shared" si="15"/>
        <v/>
      </c>
      <c r="F105" s="33" t="str">
        <f t="shared" si="16"/>
        <v/>
      </c>
      <c r="G105" s="35"/>
      <c r="H105" s="35"/>
      <c r="I105" s="33"/>
      <c r="J105" s="33" t="str">
        <f t="shared" si="17"/>
        <v/>
      </c>
      <c r="K105" s="36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8"/>
    </row>
    <row r="106" spans="1:35" x14ac:dyDescent="0.3">
      <c r="A106" s="32" t="str">
        <f t="shared" si="12"/>
        <v/>
      </c>
      <c r="B106" s="33" t="str">
        <f t="shared" si="13"/>
        <v/>
      </c>
      <c r="C106" s="33" t="str">
        <f t="shared" si="14"/>
        <v/>
      </c>
      <c r="D106" s="34"/>
      <c r="E106" s="33" t="str">
        <f t="shared" si="15"/>
        <v/>
      </c>
      <c r="F106" s="33" t="str">
        <f t="shared" si="16"/>
        <v/>
      </c>
      <c r="G106" s="35"/>
      <c r="H106" s="35"/>
      <c r="I106" s="33"/>
      <c r="J106" s="33" t="str">
        <f t="shared" si="17"/>
        <v/>
      </c>
      <c r="K106" s="36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8"/>
    </row>
    <row r="107" spans="1:35" x14ac:dyDescent="0.3">
      <c r="A107" s="32" t="str">
        <f t="shared" si="12"/>
        <v/>
      </c>
      <c r="B107" s="33" t="str">
        <f t="shared" si="13"/>
        <v/>
      </c>
      <c r="C107" s="33" t="str">
        <f t="shared" si="14"/>
        <v/>
      </c>
      <c r="D107" s="34"/>
      <c r="E107" s="33" t="str">
        <f t="shared" si="15"/>
        <v/>
      </c>
      <c r="F107" s="33" t="str">
        <f t="shared" si="16"/>
        <v/>
      </c>
      <c r="G107" s="35"/>
      <c r="H107" s="35"/>
      <c r="I107" s="33"/>
      <c r="J107" s="33" t="str">
        <f t="shared" si="17"/>
        <v/>
      </c>
      <c r="K107" s="36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8"/>
    </row>
    <row r="108" spans="1:35" x14ac:dyDescent="0.3">
      <c r="A108" s="32" t="str">
        <f t="shared" si="12"/>
        <v/>
      </c>
      <c r="B108" s="33" t="str">
        <f t="shared" si="13"/>
        <v/>
      </c>
      <c r="C108" s="33" t="str">
        <f t="shared" si="14"/>
        <v/>
      </c>
      <c r="D108" s="34"/>
      <c r="E108" s="33" t="str">
        <f t="shared" si="15"/>
        <v/>
      </c>
      <c r="F108" s="33" t="str">
        <f t="shared" si="16"/>
        <v/>
      </c>
      <c r="G108" s="35"/>
      <c r="H108" s="35"/>
      <c r="I108" s="33"/>
      <c r="J108" s="33" t="str">
        <f t="shared" si="17"/>
        <v/>
      </c>
      <c r="K108" s="36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8"/>
    </row>
    <row r="109" spans="1:35" x14ac:dyDescent="0.3">
      <c r="A109" s="32" t="str">
        <f t="shared" si="12"/>
        <v/>
      </c>
      <c r="B109" s="33" t="str">
        <f t="shared" si="13"/>
        <v/>
      </c>
      <c r="C109" s="33" t="str">
        <f t="shared" si="14"/>
        <v/>
      </c>
      <c r="D109" s="34"/>
      <c r="E109" s="33" t="str">
        <f t="shared" si="15"/>
        <v/>
      </c>
      <c r="F109" s="33" t="str">
        <f t="shared" si="16"/>
        <v/>
      </c>
      <c r="G109" s="35"/>
      <c r="H109" s="35"/>
      <c r="I109" s="33"/>
      <c r="J109" s="33" t="str">
        <f t="shared" si="17"/>
        <v/>
      </c>
      <c r="K109" s="36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8"/>
    </row>
    <row r="110" spans="1:35" x14ac:dyDescent="0.3">
      <c r="A110" s="32" t="str">
        <f t="shared" si="12"/>
        <v/>
      </c>
      <c r="B110" s="33" t="str">
        <f t="shared" si="13"/>
        <v/>
      </c>
      <c r="C110" s="33" t="str">
        <f t="shared" si="14"/>
        <v/>
      </c>
      <c r="D110" s="34"/>
      <c r="E110" s="33" t="str">
        <f t="shared" si="15"/>
        <v/>
      </c>
      <c r="F110" s="33" t="str">
        <f t="shared" si="16"/>
        <v/>
      </c>
      <c r="G110" s="35"/>
      <c r="H110" s="35"/>
      <c r="I110" s="33"/>
      <c r="J110" s="33" t="str">
        <f t="shared" si="17"/>
        <v/>
      </c>
      <c r="K110" s="36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8"/>
    </row>
    <row r="111" spans="1:35" x14ac:dyDescent="0.3">
      <c r="A111" s="32" t="str">
        <f t="shared" si="12"/>
        <v/>
      </c>
      <c r="B111" s="33" t="str">
        <f t="shared" si="13"/>
        <v/>
      </c>
      <c r="C111" s="33" t="str">
        <f t="shared" si="14"/>
        <v/>
      </c>
      <c r="D111" s="34"/>
      <c r="E111" s="33" t="str">
        <f t="shared" si="15"/>
        <v/>
      </c>
      <c r="F111" s="33" t="str">
        <f t="shared" si="16"/>
        <v/>
      </c>
      <c r="G111" s="35"/>
      <c r="H111" s="35"/>
      <c r="I111" s="33"/>
      <c r="J111" s="33" t="str">
        <f t="shared" si="17"/>
        <v/>
      </c>
      <c r="K111" s="36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8"/>
    </row>
    <row r="112" spans="1:35" x14ac:dyDescent="0.3">
      <c r="A112" s="32" t="str">
        <f t="shared" si="12"/>
        <v/>
      </c>
      <c r="B112" s="33" t="str">
        <f t="shared" si="13"/>
        <v/>
      </c>
      <c r="C112" s="33" t="str">
        <f t="shared" si="14"/>
        <v/>
      </c>
      <c r="D112" s="34"/>
      <c r="E112" s="33" t="str">
        <f t="shared" si="15"/>
        <v/>
      </c>
      <c r="F112" s="33" t="str">
        <f t="shared" si="16"/>
        <v/>
      </c>
      <c r="G112" s="35"/>
      <c r="H112" s="35"/>
      <c r="I112" s="33"/>
      <c r="J112" s="33" t="str">
        <f t="shared" si="17"/>
        <v/>
      </c>
      <c r="K112" s="36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8"/>
    </row>
    <row r="113" spans="1:35" x14ac:dyDescent="0.3">
      <c r="A113" s="32" t="str">
        <f t="shared" si="12"/>
        <v/>
      </c>
      <c r="B113" s="33" t="str">
        <f t="shared" si="13"/>
        <v/>
      </c>
      <c r="C113" s="33" t="str">
        <f t="shared" si="14"/>
        <v/>
      </c>
      <c r="D113" s="34"/>
      <c r="E113" s="33" t="str">
        <f t="shared" si="15"/>
        <v/>
      </c>
      <c r="F113" s="33" t="str">
        <f t="shared" si="16"/>
        <v/>
      </c>
      <c r="G113" s="35"/>
      <c r="H113" s="35"/>
      <c r="I113" s="33"/>
      <c r="J113" s="33" t="str">
        <f t="shared" si="17"/>
        <v/>
      </c>
      <c r="K113" s="36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8"/>
    </row>
    <row r="114" spans="1:35" x14ac:dyDescent="0.3">
      <c r="A114" s="32" t="str">
        <f t="shared" si="12"/>
        <v/>
      </c>
      <c r="B114" s="33" t="str">
        <f t="shared" si="13"/>
        <v/>
      </c>
      <c r="C114" s="33" t="str">
        <f t="shared" si="14"/>
        <v/>
      </c>
      <c r="D114" s="34"/>
      <c r="E114" s="33" t="str">
        <f t="shared" si="15"/>
        <v/>
      </c>
      <c r="F114" s="33" t="str">
        <f t="shared" si="16"/>
        <v/>
      </c>
      <c r="G114" s="35"/>
      <c r="H114" s="35"/>
      <c r="I114" s="33"/>
      <c r="J114" s="33" t="str">
        <f t="shared" si="17"/>
        <v/>
      </c>
      <c r="K114" s="36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8"/>
    </row>
    <row r="115" spans="1:35" x14ac:dyDescent="0.3">
      <c r="A115" s="32" t="str">
        <f t="shared" si="12"/>
        <v/>
      </c>
      <c r="B115" s="33" t="str">
        <f t="shared" si="13"/>
        <v/>
      </c>
      <c r="C115" s="33" t="str">
        <f t="shared" si="14"/>
        <v/>
      </c>
      <c r="D115" s="34"/>
      <c r="E115" s="33" t="str">
        <f t="shared" si="15"/>
        <v/>
      </c>
      <c r="F115" s="33" t="str">
        <f t="shared" si="16"/>
        <v/>
      </c>
      <c r="G115" s="35"/>
      <c r="H115" s="35"/>
      <c r="I115" s="33"/>
      <c r="J115" s="33" t="str">
        <f t="shared" si="17"/>
        <v/>
      </c>
      <c r="K115" s="36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8"/>
    </row>
    <row r="116" spans="1:35" x14ac:dyDescent="0.3">
      <c r="A116" s="32" t="str">
        <f t="shared" si="12"/>
        <v/>
      </c>
      <c r="B116" s="33" t="str">
        <f t="shared" si="13"/>
        <v/>
      </c>
      <c r="C116" s="33" t="str">
        <f t="shared" si="14"/>
        <v/>
      </c>
      <c r="D116" s="34"/>
      <c r="E116" s="33" t="str">
        <f t="shared" si="15"/>
        <v/>
      </c>
      <c r="F116" s="33" t="str">
        <f t="shared" si="16"/>
        <v/>
      </c>
      <c r="G116" s="35"/>
      <c r="H116" s="35"/>
      <c r="I116" s="33"/>
      <c r="J116" s="33" t="str">
        <f t="shared" si="17"/>
        <v/>
      </c>
      <c r="K116" s="36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8"/>
    </row>
    <row r="117" spans="1:35" x14ac:dyDescent="0.3">
      <c r="A117" s="32" t="str">
        <f t="shared" si="12"/>
        <v/>
      </c>
      <c r="B117" s="33" t="str">
        <f t="shared" si="13"/>
        <v/>
      </c>
      <c r="C117" s="33" t="str">
        <f t="shared" si="14"/>
        <v/>
      </c>
      <c r="D117" s="34"/>
      <c r="E117" s="33" t="str">
        <f t="shared" si="15"/>
        <v/>
      </c>
      <c r="F117" s="33" t="str">
        <f t="shared" si="16"/>
        <v/>
      </c>
      <c r="G117" s="35"/>
      <c r="H117" s="35"/>
      <c r="I117" s="33"/>
      <c r="J117" s="33" t="str">
        <f t="shared" si="17"/>
        <v/>
      </c>
      <c r="K117" s="36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8"/>
    </row>
    <row r="118" spans="1:35" x14ac:dyDescent="0.3">
      <c r="A118" s="32" t="str">
        <f t="shared" si="12"/>
        <v/>
      </c>
      <c r="B118" s="33" t="str">
        <f t="shared" si="13"/>
        <v/>
      </c>
      <c r="C118" s="33" t="str">
        <f t="shared" si="14"/>
        <v/>
      </c>
      <c r="D118" s="34"/>
      <c r="E118" s="33" t="str">
        <f t="shared" si="15"/>
        <v/>
      </c>
      <c r="F118" s="33" t="str">
        <f t="shared" si="16"/>
        <v/>
      </c>
      <c r="G118" s="35"/>
      <c r="H118" s="35"/>
      <c r="I118" s="33"/>
      <c r="J118" s="33" t="str">
        <f t="shared" si="17"/>
        <v/>
      </c>
      <c r="K118" s="36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8"/>
    </row>
    <row r="119" spans="1:35" x14ac:dyDescent="0.3">
      <c r="A119" s="32" t="str">
        <f t="shared" si="12"/>
        <v/>
      </c>
      <c r="B119" s="33" t="str">
        <f t="shared" si="13"/>
        <v/>
      </c>
      <c r="C119" s="33" t="str">
        <f t="shared" si="14"/>
        <v/>
      </c>
      <c r="D119" s="34"/>
      <c r="E119" s="33" t="str">
        <f t="shared" si="15"/>
        <v/>
      </c>
      <c r="F119" s="33" t="str">
        <f t="shared" si="16"/>
        <v/>
      </c>
      <c r="G119" s="35"/>
      <c r="H119" s="35"/>
      <c r="I119" s="33"/>
      <c r="J119" s="33" t="str">
        <f t="shared" si="17"/>
        <v/>
      </c>
      <c r="K119" s="36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8"/>
    </row>
    <row r="120" spans="1:35" x14ac:dyDescent="0.3">
      <c r="A120" s="32" t="str">
        <f t="shared" si="12"/>
        <v/>
      </c>
      <c r="B120" s="33" t="str">
        <f t="shared" si="13"/>
        <v/>
      </c>
      <c r="C120" s="33" t="str">
        <f t="shared" si="14"/>
        <v/>
      </c>
      <c r="D120" s="34"/>
      <c r="E120" s="33" t="str">
        <f t="shared" si="15"/>
        <v/>
      </c>
      <c r="F120" s="33" t="str">
        <f t="shared" si="16"/>
        <v/>
      </c>
      <c r="G120" s="35"/>
      <c r="H120" s="35"/>
      <c r="I120" s="33"/>
      <c r="J120" s="33" t="str">
        <f t="shared" si="17"/>
        <v/>
      </c>
      <c r="K120" s="36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8"/>
    </row>
    <row r="121" spans="1:35" x14ac:dyDescent="0.3">
      <c r="A121" s="32" t="str">
        <f t="shared" si="12"/>
        <v/>
      </c>
      <c r="B121" s="33" t="str">
        <f t="shared" si="13"/>
        <v/>
      </c>
      <c r="C121" s="33" t="str">
        <f t="shared" si="14"/>
        <v/>
      </c>
      <c r="D121" s="34"/>
      <c r="E121" s="33" t="str">
        <f t="shared" si="15"/>
        <v/>
      </c>
      <c r="F121" s="33" t="str">
        <f t="shared" si="16"/>
        <v/>
      </c>
      <c r="G121" s="35"/>
      <c r="H121" s="35"/>
      <c r="I121" s="33"/>
      <c r="J121" s="33" t="str">
        <f t="shared" si="17"/>
        <v/>
      </c>
      <c r="K121" s="36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8"/>
    </row>
    <row r="122" spans="1:35" x14ac:dyDescent="0.3">
      <c r="A122" s="32" t="str">
        <f t="shared" si="12"/>
        <v/>
      </c>
      <c r="B122" s="33" t="str">
        <f t="shared" si="13"/>
        <v/>
      </c>
      <c r="C122" s="33" t="str">
        <f t="shared" si="14"/>
        <v/>
      </c>
      <c r="D122" s="34"/>
      <c r="E122" s="33" t="str">
        <f t="shared" si="15"/>
        <v/>
      </c>
      <c r="F122" s="33" t="str">
        <f t="shared" si="16"/>
        <v/>
      </c>
      <c r="G122" s="35"/>
      <c r="H122" s="35"/>
      <c r="I122" s="33"/>
      <c r="J122" s="33" t="str">
        <f t="shared" si="17"/>
        <v/>
      </c>
      <c r="K122" s="36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8"/>
    </row>
    <row r="123" spans="1:35" x14ac:dyDescent="0.3">
      <c r="A123" s="32" t="str">
        <f t="shared" si="12"/>
        <v/>
      </c>
      <c r="B123" s="33" t="str">
        <f t="shared" si="13"/>
        <v/>
      </c>
      <c r="C123" s="33" t="str">
        <f t="shared" si="14"/>
        <v/>
      </c>
      <c r="D123" s="34"/>
      <c r="E123" s="33" t="str">
        <f t="shared" si="15"/>
        <v/>
      </c>
      <c r="F123" s="33" t="str">
        <f t="shared" si="16"/>
        <v/>
      </c>
      <c r="G123" s="35"/>
      <c r="H123" s="35"/>
      <c r="I123" s="33"/>
      <c r="J123" s="33" t="str">
        <f t="shared" si="17"/>
        <v/>
      </c>
      <c r="K123" s="36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8"/>
    </row>
    <row r="124" spans="1:35" x14ac:dyDescent="0.3">
      <c r="A124" s="32" t="str">
        <f t="shared" si="12"/>
        <v/>
      </c>
      <c r="B124" s="33" t="str">
        <f t="shared" si="13"/>
        <v/>
      </c>
      <c r="C124" s="33" t="str">
        <f t="shared" si="14"/>
        <v/>
      </c>
      <c r="D124" s="34"/>
      <c r="E124" s="33" t="str">
        <f t="shared" si="15"/>
        <v/>
      </c>
      <c r="F124" s="33" t="str">
        <f t="shared" si="16"/>
        <v/>
      </c>
      <c r="G124" s="35"/>
      <c r="H124" s="35"/>
      <c r="I124" s="33"/>
      <c r="J124" s="33" t="str">
        <f t="shared" si="17"/>
        <v/>
      </c>
      <c r="K124" s="36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8"/>
    </row>
    <row r="125" spans="1:35" x14ac:dyDescent="0.3">
      <c r="A125" s="32" t="str">
        <f t="shared" si="12"/>
        <v/>
      </c>
      <c r="B125" s="33" t="str">
        <f t="shared" si="13"/>
        <v/>
      </c>
      <c r="C125" s="33" t="str">
        <f t="shared" si="14"/>
        <v/>
      </c>
      <c r="D125" s="34"/>
      <c r="E125" s="33" t="str">
        <f t="shared" si="15"/>
        <v/>
      </c>
      <c r="F125" s="33" t="str">
        <f t="shared" si="16"/>
        <v/>
      </c>
      <c r="G125" s="35"/>
      <c r="H125" s="35"/>
      <c r="I125" s="33"/>
      <c r="J125" s="33" t="str">
        <f t="shared" si="17"/>
        <v/>
      </c>
      <c r="K125" s="36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8"/>
    </row>
    <row r="126" spans="1:35" x14ac:dyDescent="0.3">
      <c r="A126" s="32" t="str">
        <f t="shared" si="12"/>
        <v/>
      </c>
      <c r="B126" s="33" t="str">
        <f t="shared" si="13"/>
        <v/>
      </c>
      <c r="C126" s="33" t="str">
        <f t="shared" si="14"/>
        <v/>
      </c>
      <c r="D126" s="34"/>
      <c r="E126" s="33" t="str">
        <f t="shared" si="15"/>
        <v/>
      </c>
      <c r="F126" s="33" t="str">
        <f t="shared" si="16"/>
        <v/>
      </c>
      <c r="G126" s="35"/>
      <c r="H126" s="35"/>
      <c r="I126" s="33"/>
      <c r="J126" s="33" t="str">
        <f t="shared" si="17"/>
        <v/>
      </c>
      <c r="K126" s="36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8"/>
    </row>
    <row r="127" spans="1:35" x14ac:dyDescent="0.3">
      <c r="A127" s="32" t="str">
        <f t="shared" si="12"/>
        <v/>
      </c>
      <c r="B127" s="33" t="str">
        <f t="shared" si="13"/>
        <v/>
      </c>
      <c r="C127" s="33" t="str">
        <f t="shared" si="14"/>
        <v/>
      </c>
      <c r="D127" s="34"/>
      <c r="E127" s="33" t="str">
        <f t="shared" si="15"/>
        <v/>
      </c>
      <c r="F127" s="33" t="str">
        <f t="shared" si="16"/>
        <v/>
      </c>
      <c r="G127" s="35"/>
      <c r="H127" s="35"/>
      <c r="I127" s="33"/>
      <c r="J127" s="33" t="str">
        <f t="shared" si="17"/>
        <v/>
      </c>
      <c r="K127" s="36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8"/>
    </row>
    <row r="128" spans="1:35" x14ac:dyDescent="0.3">
      <c r="A128" s="32" t="str">
        <f t="shared" si="12"/>
        <v/>
      </c>
      <c r="B128" s="33" t="str">
        <f t="shared" si="13"/>
        <v/>
      </c>
      <c r="C128" s="33" t="str">
        <f t="shared" si="14"/>
        <v/>
      </c>
      <c r="D128" s="34"/>
      <c r="E128" s="33" t="str">
        <f t="shared" si="15"/>
        <v/>
      </c>
      <c r="F128" s="33" t="str">
        <f t="shared" si="16"/>
        <v/>
      </c>
      <c r="G128" s="35"/>
      <c r="H128" s="35"/>
      <c r="I128" s="33"/>
      <c r="J128" s="33" t="str">
        <f t="shared" si="17"/>
        <v/>
      </c>
      <c r="K128" s="36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8"/>
    </row>
    <row r="129" spans="1:35" x14ac:dyDescent="0.3">
      <c r="A129" s="32" t="str">
        <f t="shared" si="12"/>
        <v/>
      </c>
      <c r="B129" s="33" t="str">
        <f t="shared" si="13"/>
        <v/>
      </c>
      <c r="C129" s="33" t="str">
        <f t="shared" si="14"/>
        <v/>
      </c>
      <c r="D129" s="34"/>
      <c r="E129" s="33" t="str">
        <f t="shared" si="15"/>
        <v/>
      </c>
      <c r="F129" s="33" t="str">
        <f t="shared" si="16"/>
        <v/>
      </c>
      <c r="G129" s="35"/>
      <c r="H129" s="35"/>
      <c r="I129" s="33"/>
      <c r="J129" s="33" t="str">
        <f t="shared" si="17"/>
        <v/>
      </c>
      <c r="K129" s="36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8"/>
    </row>
    <row r="130" spans="1:35" x14ac:dyDescent="0.3">
      <c r="A130" s="32" t="str">
        <f t="shared" si="12"/>
        <v/>
      </c>
      <c r="B130" s="33" t="str">
        <f t="shared" si="13"/>
        <v/>
      </c>
      <c r="C130" s="33" t="str">
        <f t="shared" si="14"/>
        <v/>
      </c>
      <c r="D130" s="34"/>
      <c r="E130" s="33" t="str">
        <f t="shared" si="15"/>
        <v/>
      </c>
      <c r="F130" s="33" t="str">
        <f t="shared" si="16"/>
        <v/>
      </c>
      <c r="G130" s="35"/>
      <c r="H130" s="35"/>
      <c r="I130" s="33"/>
      <c r="J130" s="33" t="str">
        <f t="shared" si="17"/>
        <v/>
      </c>
      <c r="K130" s="36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8"/>
    </row>
    <row r="131" spans="1:35" x14ac:dyDescent="0.3">
      <c r="A131" s="32" t="str">
        <f t="shared" si="12"/>
        <v/>
      </c>
      <c r="B131" s="33" t="str">
        <f t="shared" si="13"/>
        <v/>
      </c>
      <c r="C131" s="33" t="str">
        <f t="shared" si="14"/>
        <v/>
      </c>
      <c r="D131" s="34"/>
      <c r="E131" s="33" t="str">
        <f t="shared" si="15"/>
        <v/>
      </c>
      <c r="F131" s="33" t="str">
        <f t="shared" si="16"/>
        <v/>
      </c>
      <c r="G131" s="35"/>
      <c r="H131" s="35"/>
      <c r="I131" s="33"/>
      <c r="J131" s="33" t="str">
        <f t="shared" si="17"/>
        <v/>
      </c>
      <c r="K131" s="36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8"/>
    </row>
    <row r="132" spans="1:35" x14ac:dyDescent="0.3">
      <c r="A132" s="32" t="str">
        <f t="shared" si="12"/>
        <v/>
      </c>
      <c r="B132" s="33" t="str">
        <f t="shared" si="13"/>
        <v/>
      </c>
      <c r="C132" s="33" t="str">
        <f t="shared" si="14"/>
        <v/>
      </c>
      <c r="D132" s="34"/>
      <c r="E132" s="33" t="str">
        <f t="shared" si="15"/>
        <v/>
      </c>
      <c r="F132" s="33" t="str">
        <f t="shared" si="16"/>
        <v/>
      </c>
      <c r="G132" s="35"/>
      <c r="H132" s="35"/>
      <c r="I132" s="33"/>
      <c r="J132" s="33" t="str">
        <f t="shared" si="17"/>
        <v/>
      </c>
      <c r="K132" s="36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8"/>
    </row>
    <row r="133" spans="1:35" x14ac:dyDescent="0.3">
      <c r="A133" s="32" t="str">
        <f t="shared" si="12"/>
        <v/>
      </c>
      <c r="B133" s="33" t="str">
        <f t="shared" si="13"/>
        <v/>
      </c>
      <c r="C133" s="33" t="str">
        <f t="shared" si="14"/>
        <v/>
      </c>
      <c r="D133" s="34"/>
      <c r="E133" s="33" t="str">
        <f t="shared" si="15"/>
        <v/>
      </c>
      <c r="F133" s="33" t="str">
        <f t="shared" si="16"/>
        <v/>
      </c>
      <c r="G133" s="35"/>
      <c r="H133" s="35"/>
      <c r="I133" s="33"/>
      <c r="J133" s="33" t="str">
        <f t="shared" si="17"/>
        <v/>
      </c>
      <c r="K133" s="36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8"/>
    </row>
    <row r="134" spans="1:35" x14ac:dyDescent="0.3">
      <c r="A134" s="32" t="str">
        <f t="shared" si="12"/>
        <v/>
      </c>
      <c r="B134" s="33" t="str">
        <f t="shared" si="13"/>
        <v/>
      </c>
      <c r="C134" s="33" t="str">
        <f t="shared" si="14"/>
        <v/>
      </c>
      <c r="D134" s="34"/>
      <c r="E134" s="33" t="str">
        <f t="shared" si="15"/>
        <v/>
      </c>
      <c r="F134" s="33" t="str">
        <f t="shared" si="16"/>
        <v/>
      </c>
      <c r="G134" s="35"/>
      <c r="H134" s="35"/>
      <c r="I134" s="33"/>
      <c r="J134" s="33" t="str">
        <f t="shared" si="17"/>
        <v/>
      </c>
      <c r="K134" s="36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8"/>
    </row>
    <row r="135" spans="1:35" x14ac:dyDescent="0.3">
      <c r="A135" s="32" t="str">
        <f t="shared" si="12"/>
        <v/>
      </c>
      <c r="B135" s="33" t="str">
        <f t="shared" si="13"/>
        <v/>
      </c>
      <c r="C135" s="33" t="str">
        <f t="shared" si="14"/>
        <v/>
      </c>
      <c r="D135" s="34"/>
      <c r="E135" s="33" t="str">
        <f t="shared" si="15"/>
        <v/>
      </c>
      <c r="F135" s="33" t="str">
        <f t="shared" si="16"/>
        <v/>
      </c>
      <c r="G135" s="35"/>
      <c r="H135" s="35"/>
      <c r="I135" s="33"/>
      <c r="J135" s="33" t="str">
        <f t="shared" si="17"/>
        <v/>
      </c>
      <c r="K135" s="36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8"/>
    </row>
    <row r="136" spans="1:35" x14ac:dyDescent="0.3">
      <c r="A136" s="32" t="str">
        <f t="shared" si="12"/>
        <v/>
      </c>
      <c r="B136" s="33" t="str">
        <f t="shared" si="13"/>
        <v/>
      </c>
      <c r="C136" s="33" t="str">
        <f t="shared" si="14"/>
        <v/>
      </c>
      <c r="D136" s="34"/>
      <c r="E136" s="33" t="str">
        <f t="shared" si="15"/>
        <v/>
      </c>
      <c r="F136" s="33" t="str">
        <f t="shared" si="16"/>
        <v/>
      </c>
      <c r="G136" s="35"/>
      <c r="H136" s="35"/>
      <c r="I136" s="33"/>
      <c r="J136" s="33" t="str">
        <f t="shared" si="17"/>
        <v/>
      </c>
      <c r="K136" s="36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8"/>
    </row>
    <row r="137" spans="1:35" x14ac:dyDescent="0.3">
      <c r="A137" s="32" t="str">
        <f t="shared" si="12"/>
        <v/>
      </c>
      <c r="B137" s="33" t="str">
        <f t="shared" si="13"/>
        <v/>
      </c>
      <c r="C137" s="33" t="str">
        <f t="shared" si="14"/>
        <v/>
      </c>
      <c r="D137" s="34"/>
      <c r="E137" s="33" t="str">
        <f t="shared" si="15"/>
        <v/>
      </c>
      <c r="F137" s="33" t="str">
        <f t="shared" si="16"/>
        <v/>
      </c>
      <c r="G137" s="35"/>
      <c r="H137" s="35"/>
      <c r="I137" s="33"/>
      <c r="J137" s="33" t="str">
        <f t="shared" si="17"/>
        <v/>
      </c>
      <c r="K137" s="36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8"/>
    </row>
    <row r="138" spans="1:35" x14ac:dyDescent="0.3">
      <c r="A138" s="32" t="str">
        <f t="shared" si="12"/>
        <v/>
      </c>
      <c r="B138" s="33" t="str">
        <f t="shared" si="13"/>
        <v/>
      </c>
      <c r="C138" s="33" t="str">
        <f t="shared" si="14"/>
        <v/>
      </c>
      <c r="D138" s="34"/>
      <c r="E138" s="33" t="str">
        <f t="shared" si="15"/>
        <v/>
      </c>
      <c r="F138" s="33" t="str">
        <f t="shared" si="16"/>
        <v/>
      </c>
      <c r="G138" s="35"/>
      <c r="H138" s="35"/>
      <c r="I138" s="33"/>
      <c r="J138" s="33" t="str">
        <f t="shared" si="17"/>
        <v/>
      </c>
      <c r="K138" s="36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8"/>
    </row>
    <row r="139" spans="1:35" x14ac:dyDescent="0.3">
      <c r="A139" s="32" t="str">
        <f t="shared" si="12"/>
        <v/>
      </c>
      <c r="B139" s="33" t="str">
        <f t="shared" si="13"/>
        <v/>
      </c>
      <c r="C139" s="33" t="str">
        <f t="shared" si="14"/>
        <v/>
      </c>
      <c r="D139" s="34"/>
      <c r="E139" s="33" t="str">
        <f t="shared" si="15"/>
        <v/>
      </c>
      <c r="F139" s="33" t="str">
        <f t="shared" si="16"/>
        <v/>
      </c>
      <c r="G139" s="35"/>
      <c r="H139" s="35"/>
      <c r="I139" s="33"/>
      <c r="J139" s="33" t="str">
        <f t="shared" si="17"/>
        <v/>
      </c>
      <c r="K139" s="36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8"/>
    </row>
    <row r="140" spans="1:35" x14ac:dyDescent="0.3">
      <c r="A140" s="32" t="str">
        <f t="shared" si="12"/>
        <v/>
      </c>
      <c r="B140" s="33" t="str">
        <f t="shared" si="13"/>
        <v/>
      </c>
      <c r="C140" s="33" t="str">
        <f t="shared" si="14"/>
        <v/>
      </c>
      <c r="D140" s="34"/>
      <c r="E140" s="33" t="str">
        <f t="shared" si="15"/>
        <v/>
      </c>
      <c r="F140" s="33" t="str">
        <f t="shared" si="16"/>
        <v/>
      </c>
      <c r="G140" s="35"/>
      <c r="H140" s="35"/>
      <c r="I140" s="33"/>
      <c r="J140" s="33" t="str">
        <f t="shared" si="17"/>
        <v/>
      </c>
      <c r="K140" s="36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8"/>
    </row>
    <row r="141" spans="1:35" x14ac:dyDescent="0.3">
      <c r="A141" s="32" t="str">
        <f t="shared" si="12"/>
        <v/>
      </c>
      <c r="B141" s="33" t="str">
        <f t="shared" si="13"/>
        <v/>
      </c>
      <c r="C141" s="33" t="str">
        <f t="shared" si="14"/>
        <v/>
      </c>
      <c r="D141" s="34"/>
      <c r="E141" s="33" t="str">
        <f t="shared" si="15"/>
        <v/>
      </c>
      <c r="F141" s="33" t="str">
        <f t="shared" si="16"/>
        <v/>
      </c>
      <c r="G141" s="35"/>
      <c r="H141" s="35"/>
      <c r="I141" s="33"/>
      <c r="J141" s="33" t="str">
        <f t="shared" si="17"/>
        <v/>
      </c>
      <c r="K141" s="36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8"/>
    </row>
    <row r="142" spans="1:35" x14ac:dyDescent="0.3">
      <c r="A142" s="32" t="str">
        <f t="shared" si="12"/>
        <v/>
      </c>
      <c r="B142" s="33" t="str">
        <f t="shared" si="13"/>
        <v/>
      </c>
      <c r="C142" s="33" t="str">
        <f t="shared" si="14"/>
        <v/>
      </c>
      <c r="D142" s="34"/>
      <c r="E142" s="33" t="str">
        <f t="shared" si="15"/>
        <v/>
      </c>
      <c r="F142" s="33" t="str">
        <f t="shared" si="16"/>
        <v/>
      </c>
      <c r="G142" s="35"/>
      <c r="H142" s="35"/>
      <c r="I142" s="33"/>
      <c r="J142" s="33" t="str">
        <f t="shared" si="17"/>
        <v/>
      </c>
      <c r="K142" s="36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8"/>
    </row>
    <row r="143" spans="1:35" x14ac:dyDescent="0.3">
      <c r="A143" s="32" t="str">
        <f t="shared" si="12"/>
        <v/>
      </c>
      <c r="B143" s="33" t="str">
        <f t="shared" si="13"/>
        <v/>
      </c>
      <c r="C143" s="33" t="str">
        <f t="shared" si="14"/>
        <v/>
      </c>
      <c r="D143" s="34"/>
      <c r="E143" s="33" t="str">
        <f t="shared" si="15"/>
        <v/>
      </c>
      <c r="F143" s="33" t="str">
        <f t="shared" si="16"/>
        <v/>
      </c>
      <c r="G143" s="35"/>
      <c r="H143" s="35"/>
      <c r="I143" s="33"/>
      <c r="J143" s="33" t="str">
        <f t="shared" si="17"/>
        <v/>
      </c>
      <c r="K143" s="36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8"/>
    </row>
    <row r="144" spans="1:35" x14ac:dyDescent="0.3">
      <c r="A144" s="32" t="str">
        <f t="shared" si="12"/>
        <v/>
      </c>
      <c r="B144" s="33" t="str">
        <f t="shared" si="13"/>
        <v/>
      </c>
      <c r="C144" s="33" t="str">
        <f t="shared" si="14"/>
        <v/>
      </c>
      <c r="D144" s="34"/>
      <c r="E144" s="33" t="str">
        <f t="shared" si="15"/>
        <v/>
      </c>
      <c r="F144" s="33" t="str">
        <f t="shared" si="16"/>
        <v/>
      </c>
      <c r="G144" s="35"/>
      <c r="H144" s="35"/>
      <c r="I144" s="33"/>
      <c r="J144" s="33" t="str">
        <f t="shared" si="17"/>
        <v/>
      </c>
      <c r="K144" s="36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8"/>
    </row>
    <row r="145" spans="1:35" x14ac:dyDescent="0.3">
      <c r="A145" s="32" t="str">
        <f t="shared" ref="A145:A208" si="18">IF($K145="", "", ROW()-15)</f>
        <v/>
      </c>
      <c r="B145" s="33" t="str">
        <f t="shared" ref="B145:B208" si="19">IFERROR(IF(ISNUMBER(SEARCH("Q", $K145)), "Q", MID(RIGHT($J145, 4), 1, 1)), "")</f>
        <v/>
      </c>
      <c r="C145" s="33" t="str">
        <f t="shared" ref="C145:C208" si="20">IFERROR(IF(ISNUMBER(SEARCH("Q", $K145)), LEFT($K145, LEN($K145)-15), LEFT($K145, LEN($K145)-8)), "")</f>
        <v/>
      </c>
      <c r="D145" s="34"/>
      <c r="E145" s="33" t="str">
        <f t="shared" ref="E145:E208" si="21">IFERROR(IF($F145="", "", IF($F145="01", "최초", "추가")), " ")</f>
        <v/>
      </c>
      <c r="F145" s="33" t="str">
        <f t="shared" ref="F145:F208" si="22">IFERROR(IF(ISNUMBER(SEARCH("Q", $K145)), MID(RIGHT($K145, 9), 1, 2), RIGHT($K145, 2)), "")</f>
        <v/>
      </c>
      <c r="G145" s="35"/>
      <c r="H145" s="35"/>
      <c r="I145" s="33"/>
      <c r="J145" s="33" t="str">
        <f t="shared" ref="J145:J208" si="23">IFERROR(IF(ISNUMBER(SEARCH("Q", $K145)), LEFT($K145, LEN($K145)-10), LEFT($K145, LEN($K145)-3)), "")</f>
        <v/>
      </c>
      <c r="K145" s="36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8"/>
    </row>
    <row r="146" spans="1:35" x14ac:dyDescent="0.3">
      <c r="A146" s="32" t="str">
        <f t="shared" si="18"/>
        <v/>
      </c>
      <c r="B146" s="33" t="str">
        <f t="shared" si="19"/>
        <v/>
      </c>
      <c r="C146" s="33" t="str">
        <f t="shared" si="20"/>
        <v/>
      </c>
      <c r="D146" s="34"/>
      <c r="E146" s="33" t="str">
        <f t="shared" si="21"/>
        <v/>
      </c>
      <c r="F146" s="33" t="str">
        <f t="shared" si="22"/>
        <v/>
      </c>
      <c r="G146" s="35"/>
      <c r="H146" s="35"/>
      <c r="I146" s="33"/>
      <c r="J146" s="33" t="str">
        <f t="shared" si="23"/>
        <v/>
      </c>
      <c r="K146" s="36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8"/>
    </row>
    <row r="147" spans="1:35" x14ac:dyDescent="0.3">
      <c r="A147" s="32" t="str">
        <f t="shared" si="18"/>
        <v/>
      </c>
      <c r="B147" s="33" t="str">
        <f t="shared" si="19"/>
        <v/>
      </c>
      <c r="C147" s="33" t="str">
        <f t="shared" si="20"/>
        <v/>
      </c>
      <c r="D147" s="34"/>
      <c r="E147" s="33" t="str">
        <f t="shared" si="21"/>
        <v/>
      </c>
      <c r="F147" s="33" t="str">
        <f t="shared" si="22"/>
        <v/>
      </c>
      <c r="G147" s="35"/>
      <c r="H147" s="35"/>
      <c r="I147" s="33"/>
      <c r="J147" s="33" t="str">
        <f t="shared" si="23"/>
        <v/>
      </c>
      <c r="K147" s="36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8"/>
    </row>
    <row r="148" spans="1:35" x14ac:dyDescent="0.3">
      <c r="A148" s="32" t="str">
        <f t="shared" si="18"/>
        <v/>
      </c>
      <c r="B148" s="33" t="str">
        <f t="shared" si="19"/>
        <v/>
      </c>
      <c r="C148" s="33" t="str">
        <f t="shared" si="20"/>
        <v/>
      </c>
      <c r="D148" s="34"/>
      <c r="E148" s="33" t="str">
        <f t="shared" si="21"/>
        <v/>
      </c>
      <c r="F148" s="33" t="str">
        <f t="shared" si="22"/>
        <v/>
      </c>
      <c r="G148" s="35"/>
      <c r="H148" s="35"/>
      <c r="I148" s="33"/>
      <c r="J148" s="33" t="str">
        <f t="shared" si="23"/>
        <v/>
      </c>
      <c r="K148" s="36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8"/>
    </row>
    <row r="149" spans="1:35" x14ac:dyDescent="0.3">
      <c r="A149" s="32" t="str">
        <f t="shared" si="18"/>
        <v/>
      </c>
      <c r="B149" s="33" t="str">
        <f t="shared" si="19"/>
        <v/>
      </c>
      <c r="C149" s="33" t="str">
        <f t="shared" si="20"/>
        <v/>
      </c>
      <c r="D149" s="34"/>
      <c r="E149" s="33" t="str">
        <f t="shared" si="21"/>
        <v/>
      </c>
      <c r="F149" s="33" t="str">
        <f t="shared" si="22"/>
        <v/>
      </c>
      <c r="G149" s="35"/>
      <c r="H149" s="35"/>
      <c r="I149" s="33"/>
      <c r="J149" s="33" t="str">
        <f t="shared" si="23"/>
        <v/>
      </c>
      <c r="K149" s="36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8"/>
    </row>
    <row r="150" spans="1:35" x14ac:dyDescent="0.3">
      <c r="A150" s="32" t="str">
        <f t="shared" si="18"/>
        <v/>
      </c>
      <c r="B150" s="33" t="str">
        <f t="shared" si="19"/>
        <v/>
      </c>
      <c r="C150" s="33" t="str">
        <f t="shared" si="20"/>
        <v/>
      </c>
      <c r="D150" s="34"/>
      <c r="E150" s="33" t="str">
        <f t="shared" si="21"/>
        <v/>
      </c>
      <c r="F150" s="33" t="str">
        <f t="shared" si="22"/>
        <v/>
      </c>
      <c r="G150" s="35"/>
      <c r="H150" s="35"/>
      <c r="I150" s="33"/>
      <c r="J150" s="33" t="str">
        <f t="shared" si="23"/>
        <v/>
      </c>
      <c r="K150" s="36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8"/>
    </row>
    <row r="151" spans="1:35" x14ac:dyDescent="0.3">
      <c r="A151" s="32" t="str">
        <f t="shared" si="18"/>
        <v/>
      </c>
      <c r="B151" s="33" t="str">
        <f t="shared" si="19"/>
        <v/>
      </c>
      <c r="C151" s="33" t="str">
        <f t="shared" si="20"/>
        <v/>
      </c>
      <c r="D151" s="34"/>
      <c r="E151" s="33" t="str">
        <f t="shared" si="21"/>
        <v/>
      </c>
      <c r="F151" s="33" t="str">
        <f t="shared" si="22"/>
        <v/>
      </c>
      <c r="G151" s="35"/>
      <c r="H151" s="35"/>
      <c r="I151" s="33"/>
      <c r="J151" s="33" t="str">
        <f t="shared" si="23"/>
        <v/>
      </c>
      <c r="K151" s="36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8"/>
    </row>
    <row r="152" spans="1:35" x14ac:dyDescent="0.3">
      <c r="A152" s="32" t="str">
        <f t="shared" si="18"/>
        <v/>
      </c>
      <c r="B152" s="33" t="str">
        <f t="shared" si="19"/>
        <v/>
      </c>
      <c r="C152" s="33" t="str">
        <f t="shared" si="20"/>
        <v/>
      </c>
      <c r="D152" s="34"/>
      <c r="E152" s="33" t="str">
        <f t="shared" si="21"/>
        <v/>
      </c>
      <c r="F152" s="33" t="str">
        <f t="shared" si="22"/>
        <v/>
      </c>
      <c r="G152" s="35"/>
      <c r="H152" s="35"/>
      <c r="I152" s="33"/>
      <c r="J152" s="33" t="str">
        <f t="shared" si="23"/>
        <v/>
      </c>
      <c r="K152" s="36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8"/>
    </row>
    <row r="153" spans="1:35" x14ac:dyDescent="0.3">
      <c r="A153" s="32" t="str">
        <f t="shared" si="18"/>
        <v/>
      </c>
      <c r="B153" s="33" t="str">
        <f t="shared" si="19"/>
        <v/>
      </c>
      <c r="C153" s="33" t="str">
        <f t="shared" si="20"/>
        <v/>
      </c>
      <c r="D153" s="34"/>
      <c r="E153" s="33" t="str">
        <f t="shared" si="21"/>
        <v/>
      </c>
      <c r="F153" s="33" t="str">
        <f t="shared" si="22"/>
        <v/>
      </c>
      <c r="G153" s="35"/>
      <c r="H153" s="35"/>
      <c r="I153" s="33"/>
      <c r="J153" s="33" t="str">
        <f t="shared" si="23"/>
        <v/>
      </c>
      <c r="K153" s="36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8"/>
    </row>
    <row r="154" spans="1:35" x14ac:dyDescent="0.3">
      <c r="A154" s="32" t="str">
        <f t="shared" si="18"/>
        <v/>
      </c>
      <c r="B154" s="33" t="str">
        <f t="shared" si="19"/>
        <v/>
      </c>
      <c r="C154" s="33" t="str">
        <f t="shared" si="20"/>
        <v/>
      </c>
      <c r="D154" s="34"/>
      <c r="E154" s="33" t="str">
        <f t="shared" si="21"/>
        <v/>
      </c>
      <c r="F154" s="33" t="str">
        <f t="shared" si="22"/>
        <v/>
      </c>
      <c r="G154" s="35"/>
      <c r="H154" s="35"/>
      <c r="I154" s="33"/>
      <c r="J154" s="33" t="str">
        <f t="shared" si="23"/>
        <v/>
      </c>
      <c r="K154" s="36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8"/>
    </row>
    <row r="155" spans="1:35" x14ac:dyDescent="0.3">
      <c r="A155" s="32" t="str">
        <f t="shared" si="18"/>
        <v/>
      </c>
      <c r="B155" s="33" t="str">
        <f t="shared" si="19"/>
        <v/>
      </c>
      <c r="C155" s="33" t="str">
        <f t="shared" si="20"/>
        <v/>
      </c>
      <c r="D155" s="34"/>
      <c r="E155" s="33" t="str">
        <f t="shared" si="21"/>
        <v/>
      </c>
      <c r="F155" s="33" t="str">
        <f t="shared" si="22"/>
        <v/>
      </c>
      <c r="G155" s="35"/>
      <c r="H155" s="35"/>
      <c r="I155" s="33"/>
      <c r="J155" s="33" t="str">
        <f t="shared" si="23"/>
        <v/>
      </c>
      <c r="K155" s="36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8"/>
    </row>
    <row r="156" spans="1:35" x14ac:dyDescent="0.3">
      <c r="A156" s="32" t="str">
        <f t="shared" si="18"/>
        <v/>
      </c>
      <c r="B156" s="33" t="str">
        <f t="shared" si="19"/>
        <v/>
      </c>
      <c r="C156" s="33" t="str">
        <f t="shared" si="20"/>
        <v/>
      </c>
      <c r="D156" s="34"/>
      <c r="E156" s="33" t="str">
        <f t="shared" si="21"/>
        <v/>
      </c>
      <c r="F156" s="33" t="str">
        <f t="shared" si="22"/>
        <v/>
      </c>
      <c r="G156" s="35"/>
      <c r="H156" s="35"/>
      <c r="I156" s="33"/>
      <c r="J156" s="33" t="str">
        <f t="shared" si="23"/>
        <v/>
      </c>
      <c r="K156" s="36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8"/>
    </row>
    <row r="157" spans="1:35" x14ac:dyDescent="0.3">
      <c r="A157" s="32" t="str">
        <f t="shared" si="18"/>
        <v/>
      </c>
      <c r="B157" s="33" t="str">
        <f t="shared" si="19"/>
        <v/>
      </c>
      <c r="C157" s="33" t="str">
        <f t="shared" si="20"/>
        <v/>
      </c>
      <c r="D157" s="34"/>
      <c r="E157" s="33" t="str">
        <f t="shared" si="21"/>
        <v/>
      </c>
      <c r="F157" s="33" t="str">
        <f t="shared" si="22"/>
        <v/>
      </c>
      <c r="G157" s="35"/>
      <c r="H157" s="35"/>
      <c r="I157" s="33"/>
      <c r="J157" s="33" t="str">
        <f t="shared" si="23"/>
        <v/>
      </c>
      <c r="K157" s="36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8"/>
    </row>
    <row r="158" spans="1:35" x14ac:dyDescent="0.3">
      <c r="A158" s="32" t="str">
        <f t="shared" si="18"/>
        <v/>
      </c>
      <c r="B158" s="33" t="str">
        <f t="shared" si="19"/>
        <v/>
      </c>
      <c r="C158" s="33" t="str">
        <f t="shared" si="20"/>
        <v/>
      </c>
      <c r="D158" s="34"/>
      <c r="E158" s="33" t="str">
        <f t="shared" si="21"/>
        <v/>
      </c>
      <c r="F158" s="33" t="str">
        <f t="shared" si="22"/>
        <v/>
      </c>
      <c r="G158" s="35"/>
      <c r="H158" s="35"/>
      <c r="I158" s="33"/>
      <c r="J158" s="33" t="str">
        <f t="shared" si="23"/>
        <v/>
      </c>
      <c r="K158" s="36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8"/>
    </row>
    <row r="159" spans="1:35" x14ac:dyDescent="0.3">
      <c r="A159" s="32" t="str">
        <f t="shared" si="18"/>
        <v/>
      </c>
      <c r="B159" s="33" t="str">
        <f t="shared" si="19"/>
        <v/>
      </c>
      <c r="C159" s="33" t="str">
        <f t="shared" si="20"/>
        <v/>
      </c>
      <c r="D159" s="34"/>
      <c r="E159" s="33" t="str">
        <f t="shared" si="21"/>
        <v/>
      </c>
      <c r="F159" s="33" t="str">
        <f t="shared" si="22"/>
        <v/>
      </c>
      <c r="G159" s="35"/>
      <c r="H159" s="35"/>
      <c r="I159" s="33"/>
      <c r="J159" s="33" t="str">
        <f t="shared" si="23"/>
        <v/>
      </c>
      <c r="K159" s="36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8"/>
    </row>
    <row r="160" spans="1:35" x14ac:dyDescent="0.3">
      <c r="A160" s="32" t="str">
        <f t="shared" si="18"/>
        <v/>
      </c>
      <c r="B160" s="33" t="str">
        <f t="shared" si="19"/>
        <v/>
      </c>
      <c r="C160" s="33" t="str">
        <f t="shared" si="20"/>
        <v/>
      </c>
      <c r="D160" s="34"/>
      <c r="E160" s="33" t="str">
        <f t="shared" si="21"/>
        <v/>
      </c>
      <c r="F160" s="33" t="str">
        <f t="shared" si="22"/>
        <v/>
      </c>
      <c r="G160" s="35"/>
      <c r="H160" s="35"/>
      <c r="I160" s="33"/>
      <c r="J160" s="33" t="str">
        <f t="shared" si="23"/>
        <v/>
      </c>
      <c r="K160" s="36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8"/>
    </row>
    <row r="161" spans="1:35" x14ac:dyDescent="0.3">
      <c r="A161" s="32" t="str">
        <f t="shared" si="18"/>
        <v/>
      </c>
      <c r="B161" s="33" t="str">
        <f t="shared" si="19"/>
        <v/>
      </c>
      <c r="C161" s="33" t="str">
        <f t="shared" si="20"/>
        <v/>
      </c>
      <c r="D161" s="34"/>
      <c r="E161" s="33" t="str">
        <f t="shared" si="21"/>
        <v/>
      </c>
      <c r="F161" s="33" t="str">
        <f t="shared" si="22"/>
        <v/>
      </c>
      <c r="G161" s="35"/>
      <c r="H161" s="35"/>
      <c r="I161" s="33"/>
      <c r="J161" s="33" t="str">
        <f t="shared" si="23"/>
        <v/>
      </c>
      <c r="K161" s="36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8"/>
    </row>
    <row r="162" spans="1:35" x14ac:dyDescent="0.3">
      <c r="A162" s="32" t="str">
        <f t="shared" si="18"/>
        <v/>
      </c>
      <c r="B162" s="33" t="str">
        <f t="shared" si="19"/>
        <v/>
      </c>
      <c r="C162" s="33" t="str">
        <f t="shared" si="20"/>
        <v/>
      </c>
      <c r="D162" s="34"/>
      <c r="E162" s="33" t="str">
        <f t="shared" si="21"/>
        <v/>
      </c>
      <c r="F162" s="33" t="str">
        <f t="shared" si="22"/>
        <v/>
      </c>
      <c r="G162" s="35"/>
      <c r="H162" s="35"/>
      <c r="I162" s="33"/>
      <c r="J162" s="33" t="str">
        <f t="shared" si="23"/>
        <v/>
      </c>
      <c r="K162" s="36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8"/>
    </row>
    <row r="163" spans="1:35" x14ac:dyDescent="0.3">
      <c r="A163" s="32" t="str">
        <f t="shared" si="18"/>
        <v/>
      </c>
      <c r="B163" s="33" t="str">
        <f t="shared" si="19"/>
        <v/>
      </c>
      <c r="C163" s="33" t="str">
        <f t="shared" si="20"/>
        <v/>
      </c>
      <c r="D163" s="34"/>
      <c r="E163" s="33" t="str">
        <f t="shared" si="21"/>
        <v/>
      </c>
      <c r="F163" s="33" t="str">
        <f t="shared" si="22"/>
        <v/>
      </c>
      <c r="G163" s="35"/>
      <c r="H163" s="35"/>
      <c r="I163" s="33"/>
      <c r="J163" s="33" t="str">
        <f t="shared" si="23"/>
        <v/>
      </c>
      <c r="K163" s="36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8"/>
    </row>
    <row r="164" spans="1:35" x14ac:dyDescent="0.3">
      <c r="A164" s="32" t="str">
        <f t="shared" si="18"/>
        <v/>
      </c>
      <c r="B164" s="33" t="str">
        <f t="shared" si="19"/>
        <v/>
      </c>
      <c r="C164" s="33" t="str">
        <f t="shared" si="20"/>
        <v/>
      </c>
      <c r="D164" s="34"/>
      <c r="E164" s="33" t="str">
        <f t="shared" si="21"/>
        <v/>
      </c>
      <c r="F164" s="33" t="str">
        <f t="shared" si="22"/>
        <v/>
      </c>
      <c r="G164" s="35"/>
      <c r="H164" s="35"/>
      <c r="I164" s="33"/>
      <c r="J164" s="33" t="str">
        <f t="shared" si="23"/>
        <v/>
      </c>
      <c r="K164" s="36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8"/>
    </row>
    <row r="165" spans="1:35" x14ac:dyDescent="0.3">
      <c r="A165" s="32" t="str">
        <f t="shared" si="18"/>
        <v/>
      </c>
      <c r="B165" s="33" t="str">
        <f t="shared" si="19"/>
        <v/>
      </c>
      <c r="C165" s="33" t="str">
        <f t="shared" si="20"/>
        <v/>
      </c>
      <c r="D165" s="34"/>
      <c r="E165" s="33" t="str">
        <f t="shared" si="21"/>
        <v/>
      </c>
      <c r="F165" s="33" t="str">
        <f t="shared" si="22"/>
        <v/>
      </c>
      <c r="G165" s="35"/>
      <c r="H165" s="35"/>
      <c r="I165" s="33"/>
      <c r="J165" s="33" t="str">
        <f t="shared" si="23"/>
        <v/>
      </c>
      <c r="K165" s="36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8"/>
    </row>
    <row r="166" spans="1:35" x14ac:dyDescent="0.3">
      <c r="A166" s="32" t="str">
        <f t="shared" si="18"/>
        <v/>
      </c>
      <c r="B166" s="33" t="str">
        <f t="shared" si="19"/>
        <v/>
      </c>
      <c r="C166" s="33" t="str">
        <f t="shared" si="20"/>
        <v/>
      </c>
      <c r="D166" s="34"/>
      <c r="E166" s="33" t="str">
        <f t="shared" si="21"/>
        <v/>
      </c>
      <c r="F166" s="33" t="str">
        <f t="shared" si="22"/>
        <v/>
      </c>
      <c r="G166" s="35"/>
      <c r="H166" s="35"/>
      <c r="I166" s="33"/>
      <c r="J166" s="33" t="str">
        <f t="shared" si="23"/>
        <v/>
      </c>
      <c r="K166" s="36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8"/>
    </row>
    <row r="167" spans="1:35" x14ac:dyDescent="0.3">
      <c r="A167" s="32" t="str">
        <f t="shared" si="18"/>
        <v/>
      </c>
      <c r="B167" s="33" t="str">
        <f t="shared" si="19"/>
        <v/>
      </c>
      <c r="C167" s="33" t="str">
        <f t="shared" si="20"/>
        <v/>
      </c>
      <c r="D167" s="34"/>
      <c r="E167" s="33" t="str">
        <f t="shared" si="21"/>
        <v/>
      </c>
      <c r="F167" s="33" t="str">
        <f t="shared" si="22"/>
        <v/>
      </c>
      <c r="G167" s="35"/>
      <c r="H167" s="35"/>
      <c r="I167" s="33"/>
      <c r="J167" s="33" t="str">
        <f t="shared" si="23"/>
        <v/>
      </c>
      <c r="K167" s="36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8"/>
    </row>
    <row r="168" spans="1:35" x14ac:dyDescent="0.3">
      <c r="A168" s="32" t="str">
        <f t="shared" si="18"/>
        <v/>
      </c>
      <c r="B168" s="33" t="str">
        <f t="shared" si="19"/>
        <v/>
      </c>
      <c r="C168" s="33" t="str">
        <f t="shared" si="20"/>
        <v/>
      </c>
      <c r="D168" s="34"/>
      <c r="E168" s="33" t="str">
        <f t="shared" si="21"/>
        <v/>
      </c>
      <c r="F168" s="33" t="str">
        <f t="shared" si="22"/>
        <v/>
      </c>
      <c r="G168" s="35"/>
      <c r="H168" s="35"/>
      <c r="I168" s="33"/>
      <c r="J168" s="33" t="str">
        <f t="shared" si="23"/>
        <v/>
      </c>
      <c r="K168" s="36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8"/>
    </row>
    <row r="169" spans="1:35" x14ac:dyDescent="0.3">
      <c r="A169" s="32" t="str">
        <f t="shared" si="18"/>
        <v/>
      </c>
      <c r="B169" s="33" t="str">
        <f t="shared" si="19"/>
        <v/>
      </c>
      <c r="C169" s="33" t="str">
        <f t="shared" si="20"/>
        <v/>
      </c>
      <c r="D169" s="34"/>
      <c r="E169" s="33" t="str">
        <f t="shared" si="21"/>
        <v/>
      </c>
      <c r="F169" s="33" t="str">
        <f t="shared" si="22"/>
        <v/>
      </c>
      <c r="G169" s="35"/>
      <c r="H169" s="35"/>
      <c r="I169" s="33"/>
      <c r="J169" s="33" t="str">
        <f t="shared" si="23"/>
        <v/>
      </c>
      <c r="K169" s="36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8"/>
    </row>
    <row r="170" spans="1:35" x14ac:dyDescent="0.3">
      <c r="A170" s="32" t="str">
        <f t="shared" si="18"/>
        <v/>
      </c>
      <c r="B170" s="33" t="str">
        <f t="shared" si="19"/>
        <v/>
      </c>
      <c r="C170" s="33" t="str">
        <f t="shared" si="20"/>
        <v/>
      </c>
      <c r="D170" s="34"/>
      <c r="E170" s="33" t="str">
        <f t="shared" si="21"/>
        <v/>
      </c>
      <c r="F170" s="33" t="str">
        <f t="shared" si="22"/>
        <v/>
      </c>
      <c r="G170" s="35"/>
      <c r="H170" s="35"/>
      <c r="I170" s="33"/>
      <c r="J170" s="33" t="str">
        <f t="shared" si="23"/>
        <v/>
      </c>
      <c r="K170" s="36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8"/>
    </row>
    <row r="171" spans="1:35" x14ac:dyDescent="0.3">
      <c r="A171" s="32" t="str">
        <f t="shared" si="18"/>
        <v/>
      </c>
      <c r="B171" s="33" t="str">
        <f t="shared" si="19"/>
        <v/>
      </c>
      <c r="C171" s="33" t="str">
        <f t="shared" si="20"/>
        <v/>
      </c>
      <c r="D171" s="34"/>
      <c r="E171" s="33" t="str">
        <f t="shared" si="21"/>
        <v/>
      </c>
      <c r="F171" s="33" t="str">
        <f t="shared" si="22"/>
        <v/>
      </c>
      <c r="G171" s="35"/>
      <c r="H171" s="35"/>
      <c r="I171" s="33"/>
      <c r="J171" s="33" t="str">
        <f t="shared" si="23"/>
        <v/>
      </c>
      <c r="K171" s="36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8"/>
    </row>
    <row r="172" spans="1:35" x14ac:dyDescent="0.3">
      <c r="A172" s="32" t="str">
        <f t="shared" si="18"/>
        <v/>
      </c>
      <c r="B172" s="33" t="str">
        <f t="shared" si="19"/>
        <v/>
      </c>
      <c r="C172" s="33" t="str">
        <f t="shared" si="20"/>
        <v/>
      </c>
      <c r="D172" s="34"/>
      <c r="E172" s="33" t="str">
        <f t="shared" si="21"/>
        <v/>
      </c>
      <c r="F172" s="33" t="str">
        <f t="shared" si="22"/>
        <v/>
      </c>
      <c r="G172" s="35"/>
      <c r="H172" s="35"/>
      <c r="I172" s="33"/>
      <c r="J172" s="33" t="str">
        <f t="shared" si="23"/>
        <v/>
      </c>
      <c r="K172" s="36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8"/>
    </row>
    <row r="173" spans="1:35" x14ac:dyDescent="0.3">
      <c r="A173" s="32" t="str">
        <f t="shared" si="18"/>
        <v/>
      </c>
      <c r="B173" s="33" t="str">
        <f t="shared" si="19"/>
        <v/>
      </c>
      <c r="C173" s="33" t="str">
        <f t="shared" si="20"/>
        <v/>
      </c>
      <c r="D173" s="34"/>
      <c r="E173" s="33" t="str">
        <f t="shared" si="21"/>
        <v/>
      </c>
      <c r="F173" s="33" t="str">
        <f t="shared" si="22"/>
        <v/>
      </c>
      <c r="G173" s="35"/>
      <c r="H173" s="35"/>
      <c r="I173" s="33"/>
      <c r="J173" s="33" t="str">
        <f t="shared" si="23"/>
        <v/>
      </c>
      <c r="K173" s="36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8"/>
    </row>
    <row r="174" spans="1:35" x14ac:dyDescent="0.3">
      <c r="A174" s="32" t="str">
        <f t="shared" si="18"/>
        <v/>
      </c>
      <c r="B174" s="33" t="str">
        <f t="shared" si="19"/>
        <v/>
      </c>
      <c r="C174" s="33" t="str">
        <f t="shared" si="20"/>
        <v/>
      </c>
      <c r="D174" s="34"/>
      <c r="E174" s="33" t="str">
        <f t="shared" si="21"/>
        <v/>
      </c>
      <c r="F174" s="33" t="str">
        <f t="shared" si="22"/>
        <v/>
      </c>
      <c r="G174" s="35"/>
      <c r="H174" s="35"/>
      <c r="I174" s="33"/>
      <c r="J174" s="33" t="str">
        <f t="shared" si="23"/>
        <v/>
      </c>
      <c r="K174" s="36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8"/>
    </row>
    <row r="175" spans="1:35" x14ac:dyDescent="0.3">
      <c r="A175" s="32" t="str">
        <f t="shared" si="18"/>
        <v/>
      </c>
      <c r="B175" s="33" t="str">
        <f t="shared" si="19"/>
        <v/>
      </c>
      <c r="C175" s="33" t="str">
        <f t="shared" si="20"/>
        <v/>
      </c>
      <c r="D175" s="34"/>
      <c r="E175" s="33" t="str">
        <f t="shared" si="21"/>
        <v/>
      </c>
      <c r="F175" s="33" t="str">
        <f t="shared" si="22"/>
        <v/>
      </c>
      <c r="G175" s="35"/>
      <c r="H175" s="35"/>
      <c r="I175" s="33"/>
      <c r="J175" s="33" t="str">
        <f t="shared" si="23"/>
        <v/>
      </c>
      <c r="K175" s="36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8"/>
    </row>
    <row r="176" spans="1:35" x14ac:dyDescent="0.3">
      <c r="A176" s="32" t="str">
        <f t="shared" si="18"/>
        <v/>
      </c>
      <c r="B176" s="33" t="str">
        <f t="shared" si="19"/>
        <v/>
      </c>
      <c r="C176" s="33" t="str">
        <f t="shared" si="20"/>
        <v/>
      </c>
      <c r="D176" s="34"/>
      <c r="E176" s="33" t="str">
        <f t="shared" si="21"/>
        <v/>
      </c>
      <c r="F176" s="33" t="str">
        <f t="shared" si="22"/>
        <v/>
      </c>
      <c r="G176" s="35"/>
      <c r="H176" s="35"/>
      <c r="I176" s="33"/>
      <c r="J176" s="33" t="str">
        <f t="shared" si="23"/>
        <v/>
      </c>
      <c r="K176" s="36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8"/>
    </row>
    <row r="177" spans="1:35" x14ac:dyDescent="0.3">
      <c r="A177" s="32" t="str">
        <f t="shared" si="18"/>
        <v/>
      </c>
      <c r="B177" s="33" t="str">
        <f t="shared" si="19"/>
        <v/>
      </c>
      <c r="C177" s="33" t="str">
        <f t="shared" si="20"/>
        <v/>
      </c>
      <c r="D177" s="34"/>
      <c r="E177" s="33" t="str">
        <f t="shared" si="21"/>
        <v/>
      </c>
      <c r="F177" s="33" t="str">
        <f t="shared" si="22"/>
        <v/>
      </c>
      <c r="G177" s="35"/>
      <c r="H177" s="35"/>
      <c r="I177" s="33"/>
      <c r="J177" s="33" t="str">
        <f t="shared" si="23"/>
        <v/>
      </c>
      <c r="K177" s="36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8"/>
    </row>
    <row r="178" spans="1:35" x14ac:dyDescent="0.3">
      <c r="A178" s="32" t="str">
        <f t="shared" si="18"/>
        <v/>
      </c>
      <c r="B178" s="33" t="str">
        <f t="shared" si="19"/>
        <v/>
      </c>
      <c r="C178" s="33" t="str">
        <f t="shared" si="20"/>
        <v/>
      </c>
      <c r="D178" s="34"/>
      <c r="E178" s="33" t="str">
        <f t="shared" si="21"/>
        <v/>
      </c>
      <c r="F178" s="33" t="str">
        <f t="shared" si="22"/>
        <v/>
      </c>
      <c r="G178" s="35"/>
      <c r="H178" s="35"/>
      <c r="I178" s="33"/>
      <c r="J178" s="33" t="str">
        <f t="shared" si="23"/>
        <v/>
      </c>
      <c r="K178" s="36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8"/>
    </row>
    <row r="179" spans="1:35" x14ac:dyDescent="0.3">
      <c r="A179" s="32" t="str">
        <f t="shared" si="18"/>
        <v/>
      </c>
      <c r="B179" s="33" t="str">
        <f t="shared" si="19"/>
        <v/>
      </c>
      <c r="C179" s="33" t="str">
        <f t="shared" si="20"/>
        <v/>
      </c>
      <c r="D179" s="34"/>
      <c r="E179" s="33" t="str">
        <f t="shared" si="21"/>
        <v/>
      </c>
      <c r="F179" s="33" t="str">
        <f t="shared" si="22"/>
        <v/>
      </c>
      <c r="G179" s="35"/>
      <c r="H179" s="35"/>
      <c r="I179" s="33"/>
      <c r="J179" s="33" t="str">
        <f t="shared" si="23"/>
        <v/>
      </c>
      <c r="K179" s="36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8"/>
    </row>
    <row r="180" spans="1:35" x14ac:dyDescent="0.3">
      <c r="A180" s="32" t="str">
        <f t="shared" si="18"/>
        <v/>
      </c>
      <c r="B180" s="33" t="str">
        <f t="shared" si="19"/>
        <v/>
      </c>
      <c r="C180" s="33" t="str">
        <f t="shared" si="20"/>
        <v/>
      </c>
      <c r="D180" s="34"/>
      <c r="E180" s="33" t="str">
        <f t="shared" si="21"/>
        <v/>
      </c>
      <c r="F180" s="33" t="str">
        <f t="shared" si="22"/>
        <v/>
      </c>
      <c r="G180" s="35"/>
      <c r="H180" s="35"/>
      <c r="I180" s="33"/>
      <c r="J180" s="33" t="str">
        <f t="shared" si="23"/>
        <v/>
      </c>
      <c r="K180" s="36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8"/>
    </row>
    <row r="181" spans="1:35" x14ac:dyDescent="0.3">
      <c r="A181" s="32" t="str">
        <f t="shared" si="18"/>
        <v/>
      </c>
      <c r="B181" s="33" t="str">
        <f t="shared" si="19"/>
        <v/>
      </c>
      <c r="C181" s="33" t="str">
        <f t="shared" si="20"/>
        <v/>
      </c>
      <c r="D181" s="34"/>
      <c r="E181" s="33" t="str">
        <f t="shared" si="21"/>
        <v/>
      </c>
      <c r="F181" s="33" t="str">
        <f t="shared" si="22"/>
        <v/>
      </c>
      <c r="G181" s="35"/>
      <c r="H181" s="35"/>
      <c r="I181" s="33"/>
      <c r="J181" s="33" t="str">
        <f t="shared" si="23"/>
        <v/>
      </c>
      <c r="K181" s="36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8"/>
    </row>
    <row r="182" spans="1:35" x14ac:dyDescent="0.3">
      <c r="A182" s="32" t="str">
        <f t="shared" si="18"/>
        <v/>
      </c>
      <c r="B182" s="33" t="str">
        <f t="shared" si="19"/>
        <v/>
      </c>
      <c r="C182" s="33" t="str">
        <f t="shared" si="20"/>
        <v/>
      </c>
      <c r="D182" s="34"/>
      <c r="E182" s="33" t="str">
        <f t="shared" si="21"/>
        <v/>
      </c>
      <c r="F182" s="33" t="str">
        <f t="shared" si="22"/>
        <v/>
      </c>
      <c r="G182" s="35"/>
      <c r="H182" s="35"/>
      <c r="I182" s="33"/>
      <c r="J182" s="33" t="str">
        <f t="shared" si="23"/>
        <v/>
      </c>
      <c r="K182" s="36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8"/>
    </row>
    <row r="183" spans="1:35" x14ac:dyDescent="0.3">
      <c r="A183" s="32" t="str">
        <f t="shared" si="18"/>
        <v/>
      </c>
      <c r="B183" s="33" t="str">
        <f t="shared" si="19"/>
        <v/>
      </c>
      <c r="C183" s="33" t="str">
        <f t="shared" si="20"/>
        <v/>
      </c>
      <c r="D183" s="34"/>
      <c r="E183" s="33" t="str">
        <f t="shared" si="21"/>
        <v/>
      </c>
      <c r="F183" s="33" t="str">
        <f t="shared" si="22"/>
        <v/>
      </c>
      <c r="G183" s="35"/>
      <c r="H183" s="35"/>
      <c r="I183" s="33"/>
      <c r="J183" s="33" t="str">
        <f t="shared" si="23"/>
        <v/>
      </c>
      <c r="K183" s="36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8"/>
    </row>
    <row r="184" spans="1:35" x14ac:dyDescent="0.3">
      <c r="A184" s="32" t="str">
        <f t="shared" si="18"/>
        <v/>
      </c>
      <c r="B184" s="33" t="str">
        <f t="shared" si="19"/>
        <v/>
      </c>
      <c r="C184" s="33" t="str">
        <f t="shared" si="20"/>
        <v/>
      </c>
      <c r="D184" s="34"/>
      <c r="E184" s="33" t="str">
        <f t="shared" si="21"/>
        <v/>
      </c>
      <c r="F184" s="33" t="str">
        <f t="shared" si="22"/>
        <v/>
      </c>
      <c r="G184" s="35"/>
      <c r="H184" s="35"/>
      <c r="I184" s="33"/>
      <c r="J184" s="33" t="str">
        <f t="shared" si="23"/>
        <v/>
      </c>
      <c r="K184" s="36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8"/>
    </row>
    <row r="185" spans="1:35" x14ac:dyDescent="0.3">
      <c r="A185" s="32" t="str">
        <f t="shared" si="18"/>
        <v/>
      </c>
      <c r="B185" s="33" t="str">
        <f t="shared" si="19"/>
        <v/>
      </c>
      <c r="C185" s="33" t="str">
        <f t="shared" si="20"/>
        <v/>
      </c>
      <c r="D185" s="34"/>
      <c r="E185" s="33" t="str">
        <f t="shared" si="21"/>
        <v/>
      </c>
      <c r="F185" s="33" t="str">
        <f t="shared" si="22"/>
        <v/>
      </c>
      <c r="G185" s="35"/>
      <c r="H185" s="35"/>
      <c r="I185" s="33"/>
      <c r="J185" s="33" t="str">
        <f t="shared" si="23"/>
        <v/>
      </c>
      <c r="K185" s="36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8"/>
    </row>
    <row r="186" spans="1:35" x14ac:dyDescent="0.3">
      <c r="A186" s="32" t="str">
        <f t="shared" si="18"/>
        <v/>
      </c>
      <c r="B186" s="33" t="str">
        <f t="shared" si="19"/>
        <v/>
      </c>
      <c r="C186" s="33" t="str">
        <f t="shared" si="20"/>
        <v/>
      </c>
      <c r="D186" s="34"/>
      <c r="E186" s="33" t="str">
        <f t="shared" si="21"/>
        <v/>
      </c>
      <c r="F186" s="33" t="str">
        <f t="shared" si="22"/>
        <v/>
      </c>
      <c r="G186" s="35"/>
      <c r="H186" s="35"/>
      <c r="I186" s="33"/>
      <c r="J186" s="33" t="str">
        <f t="shared" si="23"/>
        <v/>
      </c>
      <c r="K186" s="36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8"/>
    </row>
    <row r="187" spans="1:35" x14ac:dyDescent="0.3">
      <c r="A187" s="32" t="str">
        <f t="shared" si="18"/>
        <v/>
      </c>
      <c r="B187" s="33" t="str">
        <f t="shared" si="19"/>
        <v/>
      </c>
      <c r="C187" s="33" t="str">
        <f t="shared" si="20"/>
        <v/>
      </c>
      <c r="D187" s="34"/>
      <c r="E187" s="33" t="str">
        <f t="shared" si="21"/>
        <v/>
      </c>
      <c r="F187" s="33" t="str">
        <f t="shared" si="22"/>
        <v/>
      </c>
      <c r="G187" s="35"/>
      <c r="H187" s="35"/>
      <c r="I187" s="33"/>
      <c r="J187" s="33" t="str">
        <f t="shared" si="23"/>
        <v/>
      </c>
      <c r="K187" s="36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8"/>
    </row>
    <row r="188" spans="1:35" x14ac:dyDescent="0.3">
      <c r="A188" s="32" t="str">
        <f t="shared" si="18"/>
        <v/>
      </c>
      <c r="B188" s="33" t="str">
        <f t="shared" si="19"/>
        <v/>
      </c>
      <c r="C188" s="33" t="str">
        <f t="shared" si="20"/>
        <v/>
      </c>
      <c r="D188" s="34"/>
      <c r="E188" s="33" t="str">
        <f t="shared" si="21"/>
        <v/>
      </c>
      <c r="F188" s="33" t="str">
        <f t="shared" si="22"/>
        <v/>
      </c>
      <c r="G188" s="35"/>
      <c r="H188" s="35"/>
      <c r="I188" s="33"/>
      <c r="J188" s="33" t="str">
        <f t="shared" si="23"/>
        <v/>
      </c>
      <c r="K188" s="36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8"/>
    </row>
    <row r="189" spans="1:35" x14ac:dyDescent="0.3">
      <c r="A189" s="32" t="str">
        <f t="shared" si="18"/>
        <v/>
      </c>
      <c r="B189" s="33" t="str">
        <f t="shared" si="19"/>
        <v/>
      </c>
      <c r="C189" s="33" t="str">
        <f t="shared" si="20"/>
        <v/>
      </c>
      <c r="D189" s="34"/>
      <c r="E189" s="33" t="str">
        <f t="shared" si="21"/>
        <v/>
      </c>
      <c r="F189" s="33" t="str">
        <f t="shared" si="22"/>
        <v/>
      </c>
      <c r="G189" s="35"/>
      <c r="H189" s="35"/>
      <c r="I189" s="33"/>
      <c r="J189" s="33" t="str">
        <f t="shared" si="23"/>
        <v/>
      </c>
      <c r="K189" s="36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8"/>
    </row>
    <row r="190" spans="1:35" x14ac:dyDescent="0.3">
      <c r="A190" s="32" t="str">
        <f t="shared" si="18"/>
        <v/>
      </c>
      <c r="B190" s="33" t="str">
        <f t="shared" si="19"/>
        <v/>
      </c>
      <c r="C190" s="33" t="str">
        <f t="shared" si="20"/>
        <v/>
      </c>
      <c r="D190" s="34"/>
      <c r="E190" s="33" t="str">
        <f t="shared" si="21"/>
        <v/>
      </c>
      <c r="F190" s="33" t="str">
        <f t="shared" si="22"/>
        <v/>
      </c>
      <c r="G190" s="35"/>
      <c r="H190" s="35"/>
      <c r="I190" s="33"/>
      <c r="J190" s="33" t="str">
        <f t="shared" si="23"/>
        <v/>
      </c>
      <c r="K190" s="36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8"/>
    </row>
    <row r="191" spans="1:35" x14ac:dyDescent="0.3">
      <c r="A191" s="32" t="str">
        <f t="shared" si="18"/>
        <v/>
      </c>
      <c r="B191" s="33" t="str">
        <f t="shared" si="19"/>
        <v/>
      </c>
      <c r="C191" s="33" t="str">
        <f t="shared" si="20"/>
        <v/>
      </c>
      <c r="D191" s="34"/>
      <c r="E191" s="33" t="str">
        <f t="shared" si="21"/>
        <v/>
      </c>
      <c r="F191" s="33" t="str">
        <f t="shared" si="22"/>
        <v/>
      </c>
      <c r="G191" s="35"/>
      <c r="H191" s="35"/>
      <c r="I191" s="33"/>
      <c r="J191" s="33" t="str">
        <f t="shared" si="23"/>
        <v/>
      </c>
      <c r="K191" s="36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8"/>
    </row>
    <row r="192" spans="1:35" x14ac:dyDescent="0.3">
      <c r="A192" s="32" t="str">
        <f t="shared" si="18"/>
        <v/>
      </c>
      <c r="B192" s="33" t="str">
        <f t="shared" si="19"/>
        <v/>
      </c>
      <c r="C192" s="33" t="str">
        <f t="shared" si="20"/>
        <v/>
      </c>
      <c r="D192" s="34"/>
      <c r="E192" s="33" t="str">
        <f t="shared" si="21"/>
        <v/>
      </c>
      <c r="F192" s="33" t="str">
        <f t="shared" si="22"/>
        <v/>
      </c>
      <c r="G192" s="35"/>
      <c r="H192" s="35"/>
      <c r="I192" s="33"/>
      <c r="J192" s="33" t="str">
        <f t="shared" si="23"/>
        <v/>
      </c>
      <c r="K192" s="36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8"/>
    </row>
    <row r="193" spans="1:35" x14ac:dyDescent="0.3">
      <c r="A193" s="32" t="str">
        <f t="shared" si="18"/>
        <v/>
      </c>
      <c r="B193" s="33" t="str">
        <f t="shared" si="19"/>
        <v/>
      </c>
      <c r="C193" s="33" t="str">
        <f t="shared" si="20"/>
        <v/>
      </c>
      <c r="D193" s="34"/>
      <c r="E193" s="33" t="str">
        <f t="shared" si="21"/>
        <v/>
      </c>
      <c r="F193" s="33" t="str">
        <f t="shared" si="22"/>
        <v/>
      </c>
      <c r="G193" s="35"/>
      <c r="H193" s="35"/>
      <c r="I193" s="33"/>
      <c r="J193" s="33" t="str">
        <f t="shared" si="23"/>
        <v/>
      </c>
      <c r="K193" s="36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8"/>
    </row>
    <row r="194" spans="1:35" x14ac:dyDescent="0.3">
      <c r="A194" s="32" t="str">
        <f t="shared" si="18"/>
        <v/>
      </c>
      <c r="B194" s="33" t="str">
        <f t="shared" si="19"/>
        <v/>
      </c>
      <c r="C194" s="33" t="str">
        <f t="shared" si="20"/>
        <v/>
      </c>
      <c r="D194" s="34"/>
      <c r="E194" s="33" t="str">
        <f t="shared" si="21"/>
        <v/>
      </c>
      <c r="F194" s="33" t="str">
        <f t="shared" si="22"/>
        <v/>
      </c>
      <c r="G194" s="35"/>
      <c r="H194" s="35"/>
      <c r="I194" s="33"/>
      <c r="J194" s="33" t="str">
        <f t="shared" si="23"/>
        <v/>
      </c>
      <c r="K194" s="36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8"/>
    </row>
    <row r="195" spans="1:35" x14ac:dyDescent="0.3">
      <c r="A195" s="32" t="str">
        <f t="shared" si="18"/>
        <v/>
      </c>
      <c r="B195" s="33" t="str">
        <f t="shared" si="19"/>
        <v/>
      </c>
      <c r="C195" s="33" t="str">
        <f t="shared" si="20"/>
        <v/>
      </c>
      <c r="D195" s="34"/>
      <c r="E195" s="33" t="str">
        <f t="shared" si="21"/>
        <v/>
      </c>
      <c r="F195" s="33" t="str">
        <f t="shared" si="22"/>
        <v/>
      </c>
      <c r="G195" s="35"/>
      <c r="H195" s="35"/>
      <c r="I195" s="33"/>
      <c r="J195" s="33" t="str">
        <f t="shared" si="23"/>
        <v/>
      </c>
      <c r="K195" s="36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8"/>
    </row>
    <row r="196" spans="1:35" x14ac:dyDescent="0.3">
      <c r="A196" s="32" t="str">
        <f t="shared" si="18"/>
        <v/>
      </c>
      <c r="B196" s="33" t="str">
        <f t="shared" si="19"/>
        <v/>
      </c>
      <c r="C196" s="33" t="str">
        <f t="shared" si="20"/>
        <v/>
      </c>
      <c r="D196" s="34"/>
      <c r="E196" s="33" t="str">
        <f t="shared" si="21"/>
        <v/>
      </c>
      <c r="F196" s="33" t="str">
        <f t="shared" si="22"/>
        <v/>
      </c>
      <c r="G196" s="35"/>
      <c r="H196" s="35"/>
      <c r="I196" s="33"/>
      <c r="J196" s="33" t="str">
        <f t="shared" si="23"/>
        <v/>
      </c>
      <c r="K196" s="36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8"/>
    </row>
    <row r="197" spans="1:35" x14ac:dyDescent="0.3">
      <c r="A197" s="32" t="str">
        <f t="shared" si="18"/>
        <v/>
      </c>
      <c r="B197" s="33" t="str">
        <f t="shared" si="19"/>
        <v/>
      </c>
      <c r="C197" s="33" t="str">
        <f t="shared" si="20"/>
        <v/>
      </c>
      <c r="D197" s="34"/>
      <c r="E197" s="33" t="str">
        <f t="shared" si="21"/>
        <v/>
      </c>
      <c r="F197" s="33" t="str">
        <f t="shared" si="22"/>
        <v/>
      </c>
      <c r="G197" s="35"/>
      <c r="H197" s="35"/>
      <c r="I197" s="33"/>
      <c r="J197" s="33" t="str">
        <f t="shared" si="23"/>
        <v/>
      </c>
      <c r="K197" s="36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8"/>
    </row>
    <row r="198" spans="1:35" x14ac:dyDescent="0.3">
      <c r="A198" s="32" t="str">
        <f t="shared" si="18"/>
        <v/>
      </c>
      <c r="B198" s="33" t="str">
        <f t="shared" si="19"/>
        <v/>
      </c>
      <c r="C198" s="33" t="str">
        <f t="shared" si="20"/>
        <v/>
      </c>
      <c r="D198" s="34"/>
      <c r="E198" s="33" t="str">
        <f t="shared" si="21"/>
        <v/>
      </c>
      <c r="F198" s="33" t="str">
        <f t="shared" si="22"/>
        <v/>
      </c>
      <c r="G198" s="35"/>
      <c r="H198" s="35"/>
      <c r="I198" s="33"/>
      <c r="J198" s="33" t="str">
        <f t="shared" si="23"/>
        <v/>
      </c>
      <c r="K198" s="36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8"/>
    </row>
    <row r="199" spans="1:35" x14ac:dyDescent="0.3">
      <c r="A199" s="32" t="str">
        <f t="shared" si="18"/>
        <v/>
      </c>
      <c r="B199" s="33" t="str">
        <f t="shared" si="19"/>
        <v/>
      </c>
      <c r="C199" s="33" t="str">
        <f t="shared" si="20"/>
        <v/>
      </c>
      <c r="D199" s="34"/>
      <c r="E199" s="33" t="str">
        <f t="shared" si="21"/>
        <v/>
      </c>
      <c r="F199" s="33" t="str">
        <f t="shared" si="22"/>
        <v/>
      </c>
      <c r="G199" s="35"/>
      <c r="H199" s="35"/>
      <c r="I199" s="33"/>
      <c r="J199" s="33" t="str">
        <f t="shared" si="23"/>
        <v/>
      </c>
      <c r="K199" s="36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8"/>
    </row>
    <row r="200" spans="1:35" x14ac:dyDescent="0.3">
      <c r="A200" s="32" t="str">
        <f t="shared" si="18"/>
        <v/>
      </c>
      <c r="B200" s="33" t="str">
        <f t="shared" si="19"/>
        <v/>
      </c>
      <c r="C200" s="33" t="str">
        <f t="shared" si="20"/>
        <v/>
      </c>
      <c r="D200" s="34"/>
      <c r="E200" s="33" t="str">
        <f t="shared" si="21"/>
        <v/>
      </c>
      <c r="F200" s="33" t="str">
        <f t="shared" si="22"/>
        <v/>
      </c>
      <c r="G200" s="35"/>
      <c r="H200" s="35"/>
      <c r="I200" s="33"/>
      <c r="J200" s="33" t="str">
        <f t="shared" si="23"/>
        <v/>
      </c>
      <c r="K200" s="36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8"/>
    </row>
    <row r="201" spans="1:35" x14ac:dyDescent="0.3">
      <c r="A201" s="32" t="str">
        <f t="shared" si="18"/>
        <v/>
      </c>
      <c r="B201" s="33" t="str">
        <f t="shared" si="19"/>
        <v/>
      </c>
      <c r="C201" s="33" t="str">
        <f t="shared" si="20"/>
        <v/>
      </c>
      <c r="D201" s="34"/>
      <c r="E201" s="33" t="str">
        <f t="shared" si="21"/>
        <v/>
      </c>
      <c r="F201" s="33" t="str">
        <f t="shared" si="22"/>
        <v/>
      </c>
      <c r="G201" s="35"/>
      <c r="H201" s="35"/>
      <c r="I201" s="33"/>
      <c r="J201" s="33" t="str">
        <f t="shared" si="23"/>
        <v/>
      </c>
      <c r="K201" s="36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8"/>
    </row>
    <row r="202" spans="1:35" x14ac:dyDescent="0.3">
      <c r="A202" s="32" t="str">
        <f t="shared" si="18"/>
        <v/>
      </c>
      <c r="B202" s="33" t="str">
        <f t="shared" si="19"/>
        <v/>
      </c>
      <c r="C202" s="33" t="str">
        <f t="shared" si="20"/>
        <v/>
      </c>
      <c r="D202" s="34"/>
      <c r="E202" s="33" t="str">
        <f t="shared" si="21"/>
        <v/>
      </c>
      <c r="F202" s="33" t="str">
        <f t="shared" si="22"/>
        <v/>
      </c>
      <c r="G202" s="35"/>
      <c r="H202" s="35"/>
      <c r="I202" s="33"/>
      <c r="J202" s="33" t="str">
        <f t="shared" si="23"/>
        <v/>
      </c>
      <c r="K202" s="36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8"/>
    </row>
    <row r="203" spans="1:35" x14ac:dyDescent="0.3">
      <c r="A203" s="32" t="str">
        <f t="shared" si="18"/>
        <v/>
      </c>
      <c r="B203" s="33" t="str">
        <f t="shared" si="19"/>
        <v/>
      </c>
      <c r="C203" s="33" t="str">
        <f t="shared" si="20"/>
        <v/>
      </c>
      <c r="D203" s="34"/>
      <c r="E203" s="33" t="str">
        <f t="shared" si="21"/>
        <v/>
      </c>
      <c r="F203" s="33" t="str">
        <f t="shared" si="22"/>
        <v/>
      </c>
      <c r="G203" s="35"/>
      <c r="H203" s="35"/>
      <c r="I203" s="33"/>
      <c r="J203" s="33" t="str">
        <f t="shared" si="23"/>
        <v/>
      </c>
      <c r="K203" s="36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8"/>
    </row>
    <row r="204" spans="1:35" x14ac:dyDescent="0.3">
      <c r="A204" s="32" t="str">
        <f t="shared" si="18"/>
        <v/>
      </c>
      <c r="B204" s="33" t="str">
        <f t="shared" si="19"/>
        <v/>
      </c>
      <c r="C204" s="33" t="str">
        <f t="shared" si="20"/>
        <v/>
      </c>
      <c r="D204" s="34"/>
      <c r="E204" s="33" t="str">
        <f t="shared" si="21"/>
        <v/>
      </c>
      <c r="F204" s="33" t="str">
        <f t="shared" si="22"/>
        <v/>
      </c>
      <c r="G204" s="35"/>
      <c r="H204" s="35"/>
      <c r="I204" s="33"/>
      <c r="J204" s="33" t="str">
        <f t="shared" si="23"/>
        <v/>
      </c>
      <c r="K204" s="36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8"/>
    </row>
    <row r="205" spans="1:35" x14ac:dyDescent="0.3">
      <c r="A205" s="32" t="str">
        <f t="shared" si="18"/>
        <v/>
      </c>
      <c r="B205" s="33" t="str">
        <f t="shared" si="19"/>
        <v/>
      </c>
      <c r="C205" s="33" t="str">
        <f t="shared" si="20"/>
        <v/>
      </c>
      <c r="D205" s="34"/>
      <c r="E205" s="33" t="str">
        <f t="shared" si="21"/>
        <v/>
      </c>
      <c r="F205" s="33" t="str">
        <f t="shared" si="22"/>
        <v/>
      </c>
      <c r="G205" s="35"/>
      <c r="H205" s="35"/>
      <c r="I205" s="33"/>
      <c r="J205" s="33" t="str">
        <f t="shared" si="23"/>
        <v/>
      </c>
      <c r="K205" s="36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8"/>
    </row>
    <row r="206" spans="1:35" x14ac:dyDescent="0.3">
      <c r="A206" s="32" t="str">
        <f t="shared" si="18"/>
        <v/>
      </c>
      <c r="B206" s="33" t="str">
        <f t="shared" si="19"/>
        <v/>
      </c>
      <c r="C206" s="33" t="str">
        <f t="shared" si="20"/>
        <v/>
      </c>
      <c r="D206" s="34"/>
      <c r="E206" s="33" t="str">
        <f t="shared" si="21"/>
        <v/>
      </c>
      <c r="F206" s="33" t="str">
        <f t="shared" si="22"/>
        <v/>
      </c>
      <c r="G206" s="35"/>
      <c r="H206" s="35"/>
      <c r="I206" s="33"/>
      <c r="J206" s="33" t="str">
        <f t="shared" si="23"/>
        <v/>
      </c>
      <c r="K206" s="36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8"/>
    </row>
    <row r="207" spans="1:35" x14ac:dyDescent="0.3">
      <c r="A207" s="32" t="str">
        <f t="shared" si="18"/>
        <v/>
      </c>
      <c r="B207" s="33" t="str">
        <f t="shared" si="19"/>
        <v/>
      </c>
      <c r="C207" s="33" t="str">
        <f t="shared" si="20"/>
        <v/>
      </c>
      <c r="D207" s="34"/>
      <c r="E207" s="33" t="str">
        <f t="shared" si="21"/>
        <v/>
      </c>
      <c r="F207" s="33" t="str">
        <f t="shared" si="22"/>
        <v/>
      </c>
      <c r="G207" s="35"/>
      <c r="H207" s="35"/>
      <c r="I207" s="33"/>
      <c r="J207" s="33" t="str">
        <f t="shared" si="23"/>
        <v/>
      </c>
      <c r="K207" s="36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8"/>
    </row>
    <row r="208" spans="1:35" x14ac:dyDescent="0.3">
      <c r="A208" s="32" t="str">
        <f t="shared" si="18"/>
        <v/>
      </c>
      <c r="B208" s="33" t="str">
        <f t="shared" si="19"/>
        <v/>
      </c>
      <c r="C208" s="33" t="str">
        <f t="shared" si="20"/>
        <v/>
      </c>
      <c r="D208" s="34"/>
      <c r="E208" s="33" t="str">
        <f t="shared" si="21"/>
        <v/>
      </c>
      <c r="F208" s="33" t="str">
        <f t="shared" si="22"/>
        <v/>
      </c>
      <c r="G208" s="35"/>
      <c r="H208" s="35"/>
      <c r="I208" s="33"/>
      <c r="J208" s="33" t="str">
        <f t="shared" si="23"/>
        <v/>
      </c>
      <c r="K208" s="36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8"/>
    </row>
    <row r="209" spans="1:35" x14ac:dyDescent="0.3">
      <c r="A209" s="32" t="str">
        <f t="shared" ref="A209:A272" si="24">IF($K209="", "", ROW()-15)</f>
        <v/>
      </c>
      <c r="B209" s="33" t="str">
        <f t="shared" ref="B209:B272" si="25">IFERROR(IF(ISNUMBER(SEARCH("Q", $K209)), "Q", MID(RIGHT($J209, 4), 1, 1)), "")</f>
        <v/>
      </c>
      <c r="C209" s="33" t="str">
        <f t="shared" ref="C209:C272" si="26">IFERROR(IF(ISNUMBER(SEARCH("Q", $K209)), LEFT($K209, LEN($K209)-15), LEFT($K209, LEN($K209)-8)), "")</f>
        <v/>
      </c>
      <c r="D209" s="34"/>
      <c r="E209" s="33" t="str">
        <f t="shared" ref="E209:E272" si="27">IFERROR(IF($F209="", "", IF($F209="01", "최초", "추가")), " ")</f>
        <v/>
      </c>
      <c r="F209" s="33" t="str">
        <f t="shared" ref="F209:F272" si="28">IFERROR(IF(ISNUMBER(SEARCH("Q", $K209)), MID(RIGHT($K209, 9), 1, 2), RIGHT($K209, 2)), "")</f>
        <v/>
      </c>
      <c r="G209" s="35"/>
      <c r="H209" s="35"/>
      <c r="I209" s="33"/>
      <c r="J209" s="33" t="str">
        <f t="shared" ref="J209:J272" si="29">IFERROR(IF(ISNUMBER(SEARCH("Q", $K209)), LEFT($K209, LEN($K209)-10), LEFT($K209, LEN($K209)-3)), "")</f>
        <v/>
      </c>
      <c r="K209" s="36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8"/>
    </row>
    <row r="210" spans="1:35" x14ac:dyDescent="0.3">
      <c r="A210" s="32" t="str">
        <f t="shared" si="24"/>
        <v/>
      </c>
      <c r="B210" s="33" t="str">
        <f t="shared" si="25"/>
        <v/>
      </c>
      <c r="C210" s="33" t="str">
        <f t="shared" si="26"/>
        <v/>
      </c>
      <c r="D210" s="34"/>
      <c r="E210" s="33" t="str">
        <f t="shared" si="27"/>
        <v/>
      </c>
      <c r="F210" s="33" t="str">
        <f t="shared" si="28"/>
        <v/>
      </c>
      <c r="G210" s="35"/>
      <c r="H210" s="35"/>
      <c r="I210" s="33"/>
      <c r="J210" s="33" t="str">
        <f t="shared" si="29"/>
        <v/>
      </c>
      <c r="K210" s="36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8"/>
    </row>
    <row r="211" spans="1:35" x14ac:dyDescent="0.3">
      <c r="A211" s="32" t="str">
        <f t="shared" si="24"/>
        <v/>
      </c>
      <c r="B211" s="33" t="str">
        <f t="shared" si="25"/>
        <v/>
      </c>
      <c r="C211" s="33" t="str">
        <f t="shared" si="26"/>
        <v/>
      </c>
      <c r="D211" s="34"/>
      <c r="E211" s="33" t="str">
        <f t="shared" si="27"/>
        <v/>
      </c>
      <c r="F211" s="33" t="str">
        <f t="shared" si="28"/>
        <v/>
      </c>
      <c r="G211" s="35"/>
      <c r="H211" s="35"/>
      <c r="I211" s="33"/>
      <c r="J211" s="33" t="str">
        <f t="shared" si="29"/>
        <v/>
      </c>
      <c r="K211" s="36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8"/>
    </row>
    <row r="212" spans="1:35" x14ac:dyDescent="0.3">
      <c r="A212" s="32" t="str">
        <f t="shared" si="24"/>
        <v/>
      </c>
      <c r="B212" s="33" t="str">
        <f t="shared" si="25"/>
        <v/>
      </c>
      <c r="C212" s="33" t="str">
        <f t="shared" si="26"/>
        <v/>
      </c>
      <c r="D212" s="34"/>
      <c r="E212" s="33" t="str">
        <f t="shared" si="27"/>
        <v/>
      </c>
      <c r="F212" s="33" t="str">
        <f t="shared" si="28"/>
        <v/>
      </c>
      <c r="G212" s="35"/>
      <c r="H212" s="35"/>
      <c r="I212" s="33"/>
      <c r="J212" s="33" t="str">
        <f t="shared" si="29"/>
        <v/>
      </c>
      <c r="K212" s="36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8"/>
    </row>
    <row r="213" spans="1:35" x14ac:dyDescent="0.3">
      <c r="A213" s="32" t="str">
        <f t="shared" si="24"/>
        <v/>
      </c>
      <c r="B213" s="33" t="str">
        <f t="shared" si="25"/>
        <v/>
      </c>
      <c r="C213" s="33" t="str">
        <f t="shared" si="26"/>
        <v/>
      </c>
      <c r="D213" s="34"/>
      <c r="E213" s="33" t="str">
        <f t="shared" si="27"/>
        <v/>
      </c>
      <c r="F213" s="33" t="str">
        <f t="shared" si="28"/>
        <v/>
      </c>
      <c r="G213" s="35"/>
      <c r="H213" s="35"/>
      <c r="I213" s="33"/>
      <c r="J213" s="33" t="str">
        <f t="shared" si="29"/>
        <v/>
      </c>
      <c r="K213" s="36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8"/>
    </row>
    <row r="214" spans="1:35" x14ac:dyDescent="0.3">
      <c r="A214" s="32" t="str">
        <f t="shared" si="24"/>
        <v/>
      </c>
      <c r="B214" s="33" t="str">
        <f t="shared" si="25"/>
        <v/>
      </c>
      <c r="C214" s="33" t="str">
        <f t="shared" si="26"/>
        <v/>
      </c>
      <c r="D214" s="34"/>
      <c r="E214" s="33" t="str">
        <f t="shared" si="27"/>
        <v/>
      </c>
      <c r="F214" s="33" t="str">
        <f t="shared" si="28"/>
        <v/>
      </c>
      <c r="G214" s="35"/>
      <c r="H214" s="35"/>
      <c r="I214" s="33"/>
      <c r="J214" s="33" t="str">
        <f t="shared" si="29"/>
        <v/>
      </c>
      <c r="K214" s="36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8"/>
    </row>
    <row r="215" spans="1:35" x14ac:dyDescent="0.3">
      <c r="A215" s="32" t="str">
        <f t="shared" si="24"/>
        <v/>
      </c>
      <c r="B215" s="33" t="str">
        <f t="shared" si="25"/>
        <v/>
      </c>
      <c r="C215" s="33" t="str">
        <f t="shared" si="26"/>
        <v/>
      </c>
      <c r="D215" s="34"/>
      <c r="E215" s="33" t="str">
        <f t="shared" si="27"/>
        <v/>
      </c>
      <c r="F215" s="33" t="str">
        <f t="shared" si="28"/>
        <v/>
      </c>
      <c r="G215" s="35"/>
      <c r="H215" s="35"/>
      <c r="I215" s="33"/>
      <c r="J215" s="33" t="str">
        <f t="shared" si="29"/>
        <v/>
      </c>
      <c r="K215" s="36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8"/>
    </row>
    <row r="216" spans="1:35" x14ac:dyDescent="0.3">
      <c r="A216" s="32" t="str">
        <f t="shared" si="24"/>
        <v/>
      </c>
      <c r="B216" s="33" t="str">
        <f t="shared" si="25"/>
        <v/>
      </c>
      <c r="C216" s="33" t="str">
        <f t="shared" si="26"/>
        <v/>
      </c>
      <c r="D216" s="34"/>
      <c r="E216" s="33" t="str">
        <f t="shared" si="27"/>
        <v/>
      </c>
      <c r="F216" s="33" t="str">
        <f t="shared" si="28"/>
        <v/>
      </c>
      <c r="G216" s="35"/>
      <c r="H216" s="35"/>
      <c r="I216" s="33"/>
      <c r="J216" s="33" t="str">
        <f t="shared" si="29"/>
        <v/>
      </c>
      <c r="K216" s="36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8"/>
    </row>
    <row r="217" spans="1:35" x14ac:dyDescent="0.3">
      <c r="A217" s="32" t="str">
        <f t="shared" si="24"/>
        <v/>
      </c>
      <c r="B217" s="33" t="str">
        <f t="shared" si="25"/>
        <v/>
      </c>
      <c r="C217" s="33" t="str">
        <f t="shared" si="26"/>
        <v/>
      </c>
      <c r="D217" s="34"/>
      <c r="E217" s="33" t="str">
        <f t="shared" si="27"/>
        <v/>
      </c>
      <c r="F217" s="33" t="str">
        <f t="shared" si="28"/>
        <v/>
      </c>
      <c r="G217" s="35"/>
      <c r="H217" s="35"/>
      <c r="I217" s="33"/>
      <c r="J217" s="33" t="str">
        <f t="shared" si="29"/>
        <v/>
      </c>
      <c r="K217" s="36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8"/>
    </row>
    <row r="218" spans="1:35" x14ac:dyDescent="0.3">
      <c r="A218" s="32" t="str">
        <f t="shared" si="24"/>
        <v/>
      </c>
      <c r="B218" s="33" t="str">
        <f t="shared" si="25"/>
        <v/>
      </c>
      <c r="C218" s="33" t="str">
        <f t="shared" si="26"/>
        <v/>
      </c>
      <c r="D218" s="34"/>
      <c r="E218" s="33" t="str">
        <f t="shared" si="27"/>
        <v/>
      </c>
      <c r="F218" s="33" t="str">
        <f t="shared" si="28"/>
        <v/>
      </c>
      <c r="G218" s="35"/>
      <c r="H218" s="35"/>
      <c r="I218" s="33"/>
      <c r="J218" s="33" t="str">
        <f t="shared" si="29"/>
        <v/>
      </c>
      <c r="K218" s="36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8"/>
    </row>
    <row r="219" spans="1:35" x14ac:dyDescent="0.3">
      <c r="A219" s="32" t="str">
        <f t="shared" si="24"/>
        <v/>
      </c>
      <c r="B219" s="33" t="str">
        <f t="shared" si="25"/>
        <v/>
      </c>
      <c r="C219" s="33" t="str">
        <f t="shared" si="26"/>
        <v/>
      </c>
      <c r="D219" s="34"/>
      <c r="E219" s="33" t="str">
        <f t="shared" si="27"/>
        <v/>
      </c>
      <c r="F219" s="33" t="str">
        <f t="shared" si="28"/>
        <v/>
      </c>
      <c r="G219" s="35"/>
      <c r="H219" s="35"/>
      <c r="I219" s="33"/>
      <c r="J219" s="33" t="str">
        <f t="shared" si="29"/>
        <v/>
      </c>
      <c r="K219" s="36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8"/>
    </row>
    <row r="220" spans="1:35" x14ac:dyDescent="0.3">
      <c r="A220" s="32" t="str">
        <f t="shared" si="24"/>
        <v/>
      </c>
      <c r="B220" s="33" t="str">
        <f t="shared" si="25"/>
        <v/>
      </c>
      <c r="C220" s="33" t="str">
        <f t="shared" si="26"/>
        <v/>
      </c>
      <c r="D220" s="34"/>
      <c r="E220" s="33" t="str">
        <f t="shared" si="27"/>
        <v/>
      </c>
      <c r="F220" s="33" t="str">
        <f t="shared" si="28"/>
        <v/>
      </c>
      <c r="G220" s="35"/>
      <c r="H220" s="35"/>
      <c r="I220" s="33"/>
      <c r="J220" s="33" t="str">
        <f t="shared" si="29"/>
        <v/>
      </c>
      <c r="K220" s="36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8"/>
    </row>
    <row r="221" spans="1:35" x14ac:dyDescent="0.3">
      <c r="A221" s="32" t="str">
        <f t="shared" si="24"/>
        <v/>
      </c>
      <c r="B221" s="33" t="str">
        <f t="shared" si="25"/>
        <v/>
      </c>
      <c r="C221" s="33" t="str">
        <f t="shared" si="26"/>
        <v/>
      </c>
      <c r="D221" s="34"/>
      <c r="E221" s="33" t="str">
        <f t="shared" si="27"/>
        <v/>
      </c>
      <c r="F221" s="33" t="str">
        <f t="shared" si="28"/>
        <v/>
      </c>
      <c r="G221" s="35"/>
      <c r="H221" s="35"/>
      <c r="I221" s="33"/>
      <c r="J221" s="33" t="str">
        <f t="shared" si="29"/>
        <v/>
      </c>
      <c r="K221" s="36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8"/>
    </row>
    <row r="222" spans="1:35" x14ac:dyDescent="0.3">
      <c r="A222" s="32" t="str">
        <f t="shared" si="24"/>
        <v/>
      </c>
      <c r="B222" s="33" t="str">
        <f t="shared" si="25"/>
        <v/>
      </c>
      <c r="C222" s="33" t="str">
        <f t="shared" si="26"/>
        <v/>
      </c>
      <c r="D222" s="34"/>
      <c r="E222" s="33" t="str">
        <f t="shared" si="27"/>
        <v/>
      </c>
      <c r="F222" s="33" t="str">
        <f t="shared" si="28"/>
        <v/>
      </c>
      <c r="G222" s="35"/>
      <c r="H222" s="35"/>
      <c r="I222" s="33"/>
      <c r="J222" s="33" t="str">
        <f t="shared" si="29"/>
        <v/>
      </c>
      <c r="K222" s="36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8"/>
    </row>
    <row r="223" spans="1:35" x14ac:dyDescent="0.3">
      <c r="A223" s="32" t="str">
        <f t="shared" si="24"/>
        <v/>
      </c>
      <c r="B223" s="33" t="str">
        <f t="shared" si="25"/>
        <v/>
      </c>
      <c r="C223" s="33" t="str">
        <f t="shared" si="26"/>
        <v/>
      </c>
      <c r="D223" s="34"/>
      <c r="E223" s="33" t="str">
        <f t="shared" si="27"/>
        <v/>
      </c>
      <c r="F223" s="33" t="str">
        <f t="shared" si="28"/>
        <v/>
      </c>
      <c r="G223" s="35"/>
      <c r="H223" s="35"/>
      <c r="I223" s="33"/>
      <c r="J223" s="33" t="str">
        <f t="shared" si="29"/>
        <v/>
      </c>
      <c r="K223" s="36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8"/>
    </row>
    <row r="224" spans="1:35" x14ac:dyDescent="0.3">
      <c r="A224" s="32" t="str">
        <f t="shared" si="24"/>
        <v/>
      </c>
      <c r="B224" s="33" t="str">
        <f t="shared" si="25"/>
        <v/>
      </c>
      <c r="C224" s="33" t="str">
        <f t="shared" si="26"/>
        <v/>
      </c>
      <c r="D224" s="34"/>
      <c r="E224" s="33" t="str">
        <f t="shared" si="27"/>
        <v/>
      </c>
      <c r="F224" s="33" t="str">
        <f t="shared" si="28"/>
        <v/>
      </c>
      <c r="G224" s="35"/>
      <c r="H224" s="35"/>
      <c r="I224" s="33"/>
      <c r="J224" s="33" t="str">
        <f t="shared" si="29"/>
        <v/>
      </c>
      <c r="K224" s="36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8"/>
    </row>
    <row r="225" spans="1:35" x14ac:dyDescent="0.3">
      <c r="A225" s="32" t="str">
        <f t="shared" si="24"/>
        <v/>
      </c>
      <c r="B225" s="33" t="str">
        <f t="shared" si="25"/>
        <v/>
      </c>
      <c r="C225" s="33" t="str">
        <f t="shared" si="26"/>
        <v/>
      </c>
      <c r="D225" s="34"/>
      <c r="E225" s="33" t="str">
        <f t="shared" si="27"/>
        <v/>
      </c>
      <c r="F225" s="33" t="str">
        <f t="shared" si="28"/>
        <v/>
      </c>
      <c r="G225" s="35"/>
      <c r="H225" s="35"/>
      <c r="I225" s="33"/>
      <c r="J225" s="33" t="str">
        <f t="shared" si="29"/>
        <v/>
      </c>
      <c r="K225" s="36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8"/>
    </row>
    <row r="226" spans="1:35" x14ac:dyDescent="0.3">
      <c r="A226" s="32" t="str">
        <f t="shared" si="24"/>
        <v/>
      </c>
      <c r="B226" s="33" t="str">
        <f t="shared" si="25"/>
        <v/>
      </c>
      <c r="C226" s="33" t="str">
        <f t="shared" si="26"/>
        <v/>
      </c>
      <c r="D226" s="34"/>
      <c r="E226" s="33" t="str">
        <f t="shared" si="27"/>
        <v/>
      </c>
      <c r="F226" s="33" t="str">
        <f t="shared" si="28"/>
        <v/>
      </c>
      <c r="G226" s="35"/>
      <c r="H226" s="35"/>
      <c r="I226" s="33"/>
      <c r="J226" s="33" t="str">
        <f t="shared" si="29"/>
        <v/>
      </c>
      <c r="K226" s="36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8"/>
    </row>
    <row r="227" spans="1:35" x14ac:dyDescent="0.3">
      <c r="A227" s="32" t="str">
        <f t="shared" si="24"/>
        <v/>
      </c>
      <c r="B227" s="33" t="str">
        <f t="shared" si="25"/>
        <v/>
      </c>
      <c r="C227" s="33" t="str">
        <f t="shared" si="26"/>
        <v/>
      </c>
      <c r="D227" s="34"/>
      <c r="E227" s="33" t="str">
        <f t="shared" si="27"/>
        <v/>
      </c>
      <c r="F227" s="33" t="str">
        <f t="shared" si="28"/>
        <v/>
      </c>
      <c r="G227" s="35"/>
      <c r="H227" s="35"/>
      <c r="I227" s="33"/>
      <c r="J227" s="33" t="str">
        <f t="shared" si="29"/>
        <v/>
      </c>
      <c r="K227" s="36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8"/>
    </row>
    <row r="228" spans="1:35" x14ac:dyDescent="0.3">
      <c r="A228" s="32" t="str">
        <f t="shared" si="24"/>
        <v/>
      </c>
      <c r="B228" s="33" t="str">
        <f t="shared" si="25"/>
        <v/>
      </c>
      <c r="C228" s="33" t="str">
        <f t="shared" si="26"/>
        <v/>
      </c>
      <c r="D228" s="34"/>
      <c r="E228" s="33" t="str">
        <f t="shared" si="27"/>
        <v/>
      </c>
      <c r="F228" s="33" t="str">
        <f t="shared" si="28"/>
        <v/>
      </c>
      <c r="G228" s="35"/>
      <c r="H228" s="35"/>
      <c r="I228" s="33"/>
      <c r="J228" s="33" t="str">
        <f t="shared" si="29"/>
        <v/>
      </c>
      <c r="K228" s="36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8"/>
    </row>
    <row r="229" spans="1:35" x14ac:dyDescent="0.3">
      <c r="A229" s="32" t="str">
        <f t="shared" si="24"/>
        <v/>
      </c>
      <c r="B229" s="33" t="str">
        <f t="shared" si="25"/>
        <v/>
      </c>
      <c r="C229" s="33" t="str">
        <f t="shared" si="26"/>
        <v/>
      </c>
      <c r="D229" s="34"/>
      <c r="E229" s="33" t="str">
        <f t="shared" si="27"/>
        <v/>
      </c>
      <c r="F229" s="33" t="str">
        <f t="shared" si="28"/>
        <v/>
      </c>
      <c r="G229" s="35"/>
      <c r="H229" s="35"/>
      <c r="I229" s="33"/>
      <c r="J229" s="33" t="str">
        <f t="shared" si="29"/>
        <v/>
      </c>
      <c r="K229" s="36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8"/>
    </row>
    <row r="230" spans="1:35" x14ac:dyDescent="0.3">
      <c r="A230" s="32" t="str">
        <f t="shared" si="24"/>
        <v/>
      </c>
      <c r="B230" s="33" t="str">
        <f t="shared" si="25"/>
        <v/>
      </c>
      <c r="C230" s="33" t="str">
        <f t="shared" si="26"/>
        <v/>
      </c>
      <c r="D230" s="34"/>
      <c r="E230" s="33" t="str">
        <f t="shared" si="27"/>
        <v/>
      </c>
      <c r="F230" s="33" t="str">
        <f t="shared" si="28"/>
        <v/>
      </c>
      <c r="G230" s="35"/>
      <c r="H230" s="35"/>
      <c r="I230" s="33"/>
      <c r="J230" s="33" t="str">
        <f t="shared" si="29"/>
        <v/>
      </c>
      <c r="K230" s="36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8"/>
    </row>
    <row r="231" spans="1:35" x14ac:dyDescent="0.3">
      <c r="A231" s="32" t="str">
        <f t="shared" si="24"/>
        <v/>
      </c>
      <c r="B231" s="33" t="str">
        <f t="shared" si="25"/>
        <v/>
      </c>
      <c r="C231" s="33" t="str">
        <f t="shared" si="26"/>
        <v/>
      </c>
      <c r="D231" s="34"/>
      <c r="E231" s="33" t="str">
        <f t="shared" si="27"/>
        <v/>
      </c>
      <c r="F231" s="33" t="str">
        <f t="shared" si="28"/>
        <v/>
      </c>
      <c r="G231" s="35"/>
      <c r="H231" s="35"/>
      <c r="I231" s="33"/>
      <c r="J231" s="33" t="str">
        <f t="shared" si="29"/>
        <v/>
      </c>
      <c r="K231" s="36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8"/>
    </row>
    <row r="232" spans="1:35" x14ac:dyDescent="0.3">
      <c r="A232" s="32" t="str">
        <f t="shared" si="24"/>
        <v/>
      </c>
      <c r="B232" s="33" t="str">
        <f t="shared" si="25"/>
        <v/>
      </c>
      <c r="C232" s="33" t="str">
        <f t="shared" si="26"/>
        <v/>
      </c>
      <c r="D232" s="34"/>
      <c r="E232" s="33" t="str">
        <f t="shared" si="27"/>
        <v/>
      </c>
      <c r="F232" s="33" t="str">
        <f t="shared" si="28"/>
        <v/>
      </c>
      <c r="G232" s="35"/>
      <c r="H232" s="35"/>
      <c r="I232" s="33"/>
      <c r="J232" s="33" t="str">
        <f t="shared" si="29"/>
        <v/>
      </c>
      <c r="K232" s="36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8"/>
    </row>
    <row r="233" spans="1:35" x14ac:dyDescent="0.3">
      <c r="A233" s="32" t="str">
        <f t="shared" si="24"/>
        <v/>
      </c>
      <c r="B233" s="33" t="str">
        <f t="shared" si="25"/>
        <v/>
      </c>
      <c r="C233" s="33" t="str">
        <f t="shared" si="26"/>
        <v/>
      </c>
      <c r="D233" s="34"/>
      <c r="E233" s="33" t="str">
        <f t="shared" si="27"/>
        <v/>
      </c>
      <c r="F233" s="33" t="str">
        <f t="shared" si="28"/>
        <v/>
      </c>
      <c r="G233" s="35"/>
      <c r="H233" s="35"/>
      <c r="I233" s="33"/>
      <c r="J233" s="33" t="str">
        <f t="shared" si="29"/>
        <v/>
      </c>
      <c r="K233" s="36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8"/>
    </row>
    <row r="234" spans="1:35" x14ac:dyDescent="0.3">
      <c r="A234" s="32" t="str">
        <f t="shared" si="24"/>
        <v/>
      </c>
      <c r="B234" s="33" t="str">
        <f t="shared" si="25"/>
        <v/>
      </c>
      <c r="C234" s="33" t="str">
        <f t="shared" si="26"/>
        <v/>
      </c>
      <c r="D234" s="34"/>
      <c r="E234" s="33" t="str">
        <f t="shared" si="27"/>
        <v/>
      </c>
      <c r="F234" s="33" t="str">
        <f t="shared" si="28"/>
        <v/>
      </c>
      <c r="G234" s="35"/>
      <c r="H234" s="35"/>
      <c r="I234" s="33"/>
      <c r="J234" s="33" t="str">
        <f t="shared" si="29"/>
        <v/>
      </c>
      <c r="K234" s="36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8"/>
    </row>
    <row r="235" spans="1:35" x14ac:dyDescent="0.3">
      <c r="A235" s="32" t="str">
        <f t="shared" si="24"/>
        <v/>
      </c>
      <c r="B235" s="33" t="str">
        <f t="shared" si="25"/>
        <v/>
      </c>
      <c r="C235" s="33" t="str">
        <f t="shared" si="26"/>
        <v/>
      </c>
      <c r="D235" s="34"/>
      <c r="E235" s="33" t="str">
        <f t="shared" si="27"/>
        <v/>
      </c>
      <c r="F235" s="33" t="str">
        <f t="shared" si="28"/>
        <v/>
      </c>
      <c r="G235" s="35"/>
      <c r="H235" s="35"/>
      <c r="I235" s="33"/>
      <c r="J235" s="33" t="str">
        <f t="shared" si="29"/>
        <v/>
      </c>
      <c r="K235" s="36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8"/>
    </row>
    <row r="236" spans="1:35" x14ac:dyDescent="0.3">
      <c r="A236" s="32" t="str">
        <f t="shared" si="24"/>
        <v/>
      </c>
      <c r="B236" s="33" t="str">
        <f t="shared" si="25"/>
        <v/>
      </c>
      <c r="C236" s="33" t="str">
        <f t="shared" si="26"/>
        <v/>
      </c>
      <c r="D236" s="34"/>
      <c r="E236" s="33" t="str">
        <f t="shared" si="27"/>
        <v/>
      </c>
      <c r="F236" s="33" t="str">
        <f t="shared" si="28"/>
        <v/>
      </c>
      <c r="G236" s="35"/>
      <c r="H236" s="35"/>
      <c r="I236" s="33"/>
      <c r="J236" s="33" t="str">
        <f t="shared" si="29"/>
        <v/>
      </c>
      <c r="K236" s="36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8"/>
    </row>
    <row r="237" spans="1:35" x14ac:dyDescent="0.3">
      <c r="A237" s="32" t="str">
        <f t="shared" si="24"/>
        <v/>
      </c>
      <c r="B237" s="33" t="str">
        <f t="shared" si="25"/>
        <v/>
      </c>
      <c r="C237" s="33" t="str">
        <f t="shared" si="26"/>
        <v/>
      </c>
      <c r="D237" s="34"/>
      <c r="E237" s="33" t="str">
        <f t="shared" si="27"/>
        <v/>
      </c>
      <c r="F237" s="33" t="str">
        <f t="shared" si="28"/>
        <v/>
      </c>
      <c r="G237" s="35"/>
      <c r="H237" s="35"/>
      <c r="I237" s="33"/>
      <c r="J237" s="33" t="str">
        <f t="shared" si="29"/>
        <v/>
      </c>
      <c r="K237" s="36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8"/>
    </row>
    <row r="238" spans="1:35" x14ac:dyDescent="0.3">
      <c r="A238" s="32" t="str">
        <f t="shared" si="24"/>
        <v/>
      </c>
      <c r="B238" s="33" t="str">
        <f t="shared" si="25"/>
        <v/>
      </c>
      <c r="C238" s="33" t="str">
        <f t="shared" si="26"/>
        <v/>
      </c>
      <c r="D238" s="34"/>
      <c r="E238" s="33" t="str">
        <f t="shared" si="27"/>
        <v/>
      </c>
      <c r="F238" s="33" t="str">
        <f t="shared" si="28"/>
        <v/>
      </c>
      <c r="G238" s="35"/>
      <c r="H238" s="35"/>
      <c r="I238" s="33"/>
      <c r="J238" s="33" t="str">
        <f t="shared" si="29"/>
        <v/>
      </c>
      <c r="K238" s="36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8"/>
    </row>
    <row r="239" spans="1:35" x14ac:dyDescent="0.3">
      <c r="A239" s="32" t="str">
        <f t="shared" si="24"/>
        <v/>
      </c>
      <c r="B239" s="33" t="str">
        <f t="shared" si="25"/>
        <v/>
      </c>
      <c r="C239" s="33" t="str">
        <f t="shared" si="26"/>
        <v/>
      </c>
      <c r="D239" s="34"/>
      <c r="E239" s="33" t="str">
        <f t="shared" si="27"/>
        <v/>
      </c>
      <c r="F239" s="33" t="str">
        <f t="shared" si="28"/>
        <v/>
      </c>
      <c r="G239" s="35"/>
      <c r="H239" s="35"/>
      <c r="I239" s="33"/>
      <c r="J239" s="33" t="str">
        <f t="shared" si="29"/>
        <v/>
      </c>
      <c r="K239" s="36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8"/>
    </row>
    <row r="240" spans="1:35" x14ac:dyDescent="0.3">
      <c r="A240" s="32" t="str">
        <f t="shared" si="24"/>
        <v/>
      </c>
      <c r="B240" s="33" t="str">
        <f t="shared" si="25"/>
        <v/>
      </c>
      <c r="C240" s="33" t="str">
        <f t="shared" si="26"/>
        <v/>
      </c>
      <c r="D240" s="34"/>
      <c r="E240" s="33" t="str">
        <f t="shared" si="27"/>
        <v/>
      </c>
      <c r="F240" s="33" t="str">
        <f t="shared" si="28"/>
        <v/>
      </c>
      <c r="G240" s="35"/>
      <c r="H240" s="35"/>
      <c r="I240" s="33"/>
      <c r="J240" s="33" t="str">
        <f t="shared" si="29"/>
        <v/>
      </c>
      <c r="K240" s="36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8"/>
    </row>
    <row r="241" spans="1:35" x14ac:dyDescent="0.3">
      <c r="A241" s="32" t="str">
        <f t="shared" si="24"/>
        <v/>
      </c>
      <c r="B241" s="33" t="str">
        <f t="shared" si="25"/>
        <v/>
      </c>
      <c r="C241" s="33" t="str">
        <f t="shared" si="26"/>
        <v/>
      </c>
      <c r="D241" s="34"/>
      <c r="E241" s="33" t="str">
        <f t="shared" si="27"/>
        <v/>
      </c>
      <c r="F241" s="33" t="str">
        <f t="shared" si="28"/>
        <v/>
      </c>
      <c r="G241" s="35"/>
      <c r="H241" s="35"/>
      <c r="I241" s="33"/>
      <c r="J241" s="33" t="str">
        <f t="shared" si="29"/>
        <v/>
      </c>
      <c r="K241" s="36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8"/>
    </row>
    <row r="242" spans="1:35" x14ac:dyDescent="0.3">
      <c r="A242" s="32" t="str">
        <f t="shared" si="24"/>
        <v/>
      </c>
      <c r="B242" s="33" t="str">
        <f t="shared" si="25"/>
        <v/>
      </c>
      <c r="C242" s="33" t="str">
        <f t="shared" si="26"/>
        <v/>
      </c>
      <c r="D242" s="34"/>
      <c r="E242" s="33" t="str">
        <f t="shared" si="27"/>
        <v/>
      </c>
      <c r="F242" s="33" t="str">
        <f t="shared" si="28"/>
        <v/>
      </c>
      <c r="G242" s="35"/>
      <c r="H242" s="35"/>
      <c r="I242" s="33"/>
      <c r="J242" s="33" t="str">
        <f t="shared" si="29"/>
        <v/>
      </c>
      <c r="K242" s="36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8"/>
    </row>
    <row r="243" spans="1:35" x14ac:dyDescent="0.3">
      <c r="A243" s="32" t="str">
        <f t="shared" si="24"/>
        <v/>
      </c>
      <c r="B243" s="33" t="str">
        <f t="shared" si="25"/>
        <v/>
      </c>
      <c r="C243" s="33" t="str">
        <f t="shared" si="26"/>
        <v/>
      </c>
      <c r="D243" s="34"/>
      <c r="E243" s="33" t="str">
        <f t="shared" si="27"/>
        <v/>
      </c>
      <c r="F243" s="33" t="str">
        <f t="shared" si="28"/>
        <v/>
      </c>
      <c r="G243" s="35"/>
      <c r="H243" s="35"/>
      <c r="I243" s="33"/>
      <c r="J243" s="33" t="str">
        <f t="shared" si="29"/>
        <v/>
      </c>
      <c r="K243" s="36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8"/>
    </row>
    <row r="244" spans="1:35" x14ac:dyDescent="0.3">
      <c r="A244" s="32" t="str">
        <f t="shared" si="24"/>
        <v/>
      </c>
      <c r="B244" s="33" t="str">
        <f t="shared" si="25"/>
        <v/>
      </c>
      <c r="C244" s="33" t="str">
        <f t="shared" si="26"/>
        <v/>
      </c>
      <c r="D244" s="34"/>
      <c r="E244" s="33" t="str">
        <f t="shared" si="27"/>
        <v/>
      </c>
      <c r="F244" s="33" t="str">
        <f t="shared" si="28"/>
        <v/>
      </c>
      <c r="G244" s="35"/>
      <c r="H244" s="35"/>
      <c r="I244" s="33"/>
      <c r="J244" s="33" t="str">
        <f t="shared" si="29"/>
        <v/>
      </c>
      <c r="K244" s="36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8"/>
    </row>
    <row r="245" spans="1:35" x14ac:dyDescent="0.3">
      <c r="A245" s="32" t="str">
        <f t="shared" si="24"/>
        <v/>
      </c>
      <c r="B245" s="33" t="str">
        <f t="shared" si="25"/>
        <v/>
      </c>
      <c r="C245" s="33" t="str">
        <f t="shared" si="26"/>
        <v/>
      </c>
      <c r="D245" s="34"/>
      <c r="E245" s="33" t="str">
        <f t="shared" si="27"/>
        <v/>
      </c>
      <c r="F245" s="33" t="str">
        <f t="shared" si="28"/>
        <v/>
      </c>
      <c r="G245" s="35"/>
      <c r="H245" s="35"/>
      <c r="I245" s="33"/>
      <c r="J245" s="33" t="str">
        <f t="shared" si="29"/>
        <v/>
      </c>
      <c r="K245" s="36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8"/>
    </row>
    <row r="246" spans="1:35" x14ac:dyDescent="0.3">
      <c r="A246" s="32" t="str">
        <f t="shared" si="24"/>
        <v/>
      </c>
      <c r="B246" s="33" t="str">
        <f t="shared" si="25"/>
        <v/>
      </c>
      <c r="C246" s="33" t="str">
        <f t="shared" si="26"/>
        <v/>
      </c>
      <c r="D246" s="34"/>
      <c r="E246" s="33" t="str">
        <f t="shared" si="27"/>
        <v/>
      </c>
      <c r="F246" s="33" t="str">
        <f t="shared" si="28"/>
        <v/>
      </c>
      <c r="G246" s="35"/>
      <c r="H246" s="35"/>
      <c r="I246" s="33"/>
      <c r="J246" s="33" t="str">
        <f t="shared" si="29"/>
        <v/>
      </c>
      <c r="K246" s="36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8"/>
    </row>
    <row r="247" spans="1:35" x14ac:dyDescent="0.3">
      <c r="A247" s="32" t="str">
        <f t="shared" si="24"/>
        <v/>
      </c>
      <c r="B247" s="33" t="str">
        <f t="shared" si="25"/>
        <v/>
      </c>
      <c r="C247" s="33" t="str">
        <f t="shared" si="26"/>
        <v/>
      </c>
      <c r="D247" s="34"/>
      <c r="E247" s="33" t="str">
        <f t="shared" si="27"/>
        <v/>
      </c>
      <c r="F247" s="33" t="str">
        <f t="shared" si="28"/>
        <v/>
      </c>
      <c r="G247" s="35"/>
      <c r="H247" s="35"/>
      <c r="I247" s="33"/>
      <c r="J247" s="33" t="str">
        <f t="shared" si="29"/>
        <v/>
      </c>
      <c r="K247" s="36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8"/>
    </row>
    <row r="248" spans="1:35" x14ac:dyDescent="0.3">
      <c r="A248" s="32" t="str">
        <f t="shared" si="24"/>
        <v/>
      </c>
      <c r="B248" s="33" t="str">
        <f t="shared" si="25"/>
        <v/>
      </c>
      <c r="C248" s="33" t="str">
        <f t="shared" si="26"/>
        <v/>
      </c>
      <c r="D248" s="34"/>
      <c r="E248" s="33" t="str">
        <f t="shared" si="27"/>
        <v/>
      </c>
      <c r="F248" s="33" t="str">
        <f t="shared" si="28"/>
        <v/>
      </c>
      <c r="G248" s="35"/>
      <c r="H248" s="35"/>
      <c r="I248" s="33"/>
      <c r="J248" s="33" t="str">
        <f t="shared" si="29"/>
        <v/>
      </c>
      <c r="K248" s="36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8"/>
    </row>
    <row r="249" spans="1:35" x14ac:dyDescent="0.3">
      <c r="A249" s="32" t="str">
        <f t="shared" si="24"/>
        <v/>
      </c>
      <c r="B249" s="33" t="str">
        <f t="shared" si="25"/>
        <v/>
      </c>
      <c r="C249" s="33" t="str">
        <f t="shared" si="26"/>
        <v/>
      </c>
      <c r="D249" s="34"/>
      <c r="E249" s="33" t="str">
        <f t="shared" si="27"/>
        <v/>
      </c>
      <c r="F249" s="33" t="str">
        <f t="shared" si="28"/>
        <v/>
      </c>
      <c r="G249" s="35"/>
      <c r="H249" s="35"/>
      <c r="I249" s="33"/>
      <c r="J249" s="33" t="str">
        <f t="shared" si="29"/>
        <v/>
      </c>
      <c r="K249" s="36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8"/>
    </row>
    <row r="250" spans="1:35" x14ac:dyDescent="0.3">
      <c r="A250" s="32" t="str">
        <f t="shared" si="24"/>
        <v/>
      </c>
      <c r="B250" s="33" t="str">
        <f t="shared" si="25"/>
        <v/>
      </c>
      <c r="C250" s="33" t="str">
        <f t="shared" si="26"/>
        <v/>
      </c>
      <c r="D250" s="34"/>
      <c r="E250" s="33" t="str">
        <f t="shared" si="27"/>
        <v/>
      </c>
      <c r="F250" s="33" t="str">
        <f t="shared" si="28"/>
        <v/>
      </c>
      <c r="G250" s="35"/>
      <c r="H250" s="35"/>
      <c r="I250" s="33"/>
      <c r="J250" s="33" t="str">
        <f t="shared" si="29"/>
        <v/>
      </c>
      <c r="K250" s="36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8"/>
    </row>
    <row r="251" spans="1:35" x14ac:dyDescent="0.3">
      <c r="A251" s="32" t="str">
        <f t="shared" si="24"/>
        <v/>
      </c>
      <c r="B251" s="33" t="str">
        <f t="shared" si="25"/>
        <v/>
      </c>
      <c r="C251" s="33" t="str">
        <f t="shared" si="26"/>
        <v/>
      </c>
      <c r="D251" s="34"/>
      <c r="E251" s="33" t="str">
        <f t="shared" si="27"/>
        <v/>
      </c>
      <c r="F251" s="33" t="str">
        <f t="shared" si="28"/>
        <v/>
      </c>
      <c r="G251" s="35"/>
      <c r="H251" s="35"/>
      <c r="I251" s="33"/>
      <c r="J251" s="33" t="str">
        <f t="shared" si="29"/>
        <v/>
      </c>
      <c r="K251" s="36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8"/>
    </row>
    <row r="252" spans="1:35" x14ac:dyDescent="0.3">
      <c r="A252" s="32" t="str">
        <f t="shared" si="24"/>
        <v/>
      </c>
      <c r="B252" s="33" t="str">
        <f t="shared" si="25"/>
        <v/>
      </c>
      <c r="C252" s="33" t="str">
        <f t="shared" si="26"/>
        <v/>
      </c>
      <c r="D252" s="34"/>
      <c r="E252" s="33" t="str">
        <f t="shared" si="27"/>
        <v/>
      </c>
      <c r="F252" s="33" t="str">
        <f t="shared" si="28"/>
        <v/>
      </c>
      <c r="G252" s="35"/>
      <c r="H252" s="35"/>
      <c r="I252" s="33"/>
      <c r="J252" s="33" t="str">
        <f t="shared" si="29"/>
        <v/>
      </c>
      <c r="K252" s="36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8"/>
    </row>
    <row r="253" spans="1:35" x14ac:dyDescent="0.3">
      <c r="A253" s="32" t="str">
        <f t="shared" si="24"/>
        <v/>
      </c>
      <c r="B253" s="33" t="str">
        <f t="shared" si="25"/>
        <v/>
      </c>
      <c r="C253" s="33" t="str">
        <f t="shared" si="26"/>
        <v/>
      </c>
      <c r="D253" s="34"/>
      <c r="E253" s="33" t="str">
        <f t="shared" si="27"/>
        <v/>
      </c>
      <c r="F253" s="33" t="str">
        <f t="shared" si="28"/>
        <v/>
      </c>
      <c r="G253" s="35"/>
      <c r="H253" s="35"/>
      <c r="I253" s="33"/>
      <c r="J253" s="33" t="str">
        <f t="shared" si="29"/>
        <v/>
      </c>
      <c r="K253" s="36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8"/>
    </row>
    <row r="254" spans="1:35" x14ac:dyDescent="0.3">
      <c r="A254" s="32" t="str">
        <f t="shared" si="24"/>
        <v/>
      </c>
      <c r="B254" s="33" t="str">
        <f t="shared" si="25"/>
        <v/>
      </c>
      <c r="C254" s="33" t="str">
        <f t="shared" si="26"/>
        <v/>
      </c>
      <c r="D254" s="34"/>
      <c r="E254" s="33" t="str">
        <f t="shared" si="27"/>
        <v/>
      </c>
      <c r="F254" s="33" t="str">
        <f t="shared" si="28"/>
        <v/>
      </c>
      <c r="G254" s="35"/>
      <c r="H254" s="35"/>
      <c r="I254" s="33"/>
      <c r="J254" s="33" t="str">
        <f t="shared" si="29"/>
        <v/>
      </c>
      <c r="K254" s="36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8"/>
    </row>
    <row r="255" spans="1:35" x14ac:dyDescent="0.3">
      <c r="A255" s="32" t="str">
        <f t="shared" si="24"/>
        <v/>
      </c>
      <c r="B255" s="33" t="str">
        <f t="shared" si="25"/>
        <v/>
      </c>
      <c r="C255" s="33" t="str">
        <f t="shared" si="26"/>
        <v/>
      </c>
      <c r="D255" s="34"/>
      <c r="E255" s="33" t="str">
        <f t="shared" si="27"/>
        <v/>
      </c>
      <c r="F255" s="33" t="str">
        <f t="shared" si="28"/>
        <v/>
      </c>
      <c r="G255" s="35"/>
      <c r="H255" s="35"/>
      <c r="I255" s="33"/>
      <c r="J255" s="33" t="str">
        <f t="shared" si="29"/>
        <v/>
      </c>
      <c r="K255" s="36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8"/>
    </row>
    <row r="256" spans="1:35" x14ac:dyDescent="0.3">
      <c r="A256" s="32" t="str">
        <f t="shared" si="24"/>
        <v/>
      </c>
      <c r="B256" s="33" t="str">
        <f t="shared" si="25"/>
        <v/>
      </c>
      <c r="C256" s="33" t="str">
        <f t="shared" si="26"/>
        <v/>
      </c>
      <c r="D256" s="34"/>
      <c r="E256" s="33" t="str">
        <f t="shared" si="27"/>
        <v/>
      </c>
      <c r="F256" s="33" t="str">
        <f t="shared" si="28"/>
        <v/>
      </c>
      <c r="G256" s="35"/>
      <c r="H256" s="35"/>
      <c r="I256" s="33"/>
      <c r="J256" s="33" t="str">
        <f t="shared" si="29"/>
        <v/>
      </c>
      <c r="K256" s="36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8"/>
    </row>
    <row r="257" spans="1:35" x14ac:dyDescent="0.3">
      <c r="A257" s="32" t="str">
        <f t="shared" si="24"/>
        <v/>
      </c>
      <c r="B257" s="33" t="str">
        <f t="shared" si="25"/>
        <v/>
      </c>
      <c r="C257" s="33" t="str">
        <f t="shared" si="26"/>
        <v/>
      </c>
      <c r="D257" s="34"/>
      <c r="E257" s="33" t="str">
        <f t="shared" si="27"/>
        <v/>
      </c>
      <c r="F257" s="33" t="str">
        <f t="shared" si="28"/>
        <v/>
      </c>
      <c r="G257" s="35"/>
      <c r="H257" s="35"/>
      <c r="I257" s="33"/>
      <c r="J257" s="33" t="str">
        <f t="shared" si="29"/>
        <v/>
      </c>
      <c r="K257" s="36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8"/>
    </row>
    <row r="258" spans="1:35" x14ac:dyDescent="0.3">
      <c r="A258" s="32" t="str">
        <f t="shared" si="24"/>
        <v/>
      </c>
      <c r="B258" s="33" t="str">
        <f t="shared" si="25"/>
        <v/>
      </c>
      <c r="C258" s="33" t="str">
        <f t="shared" si="26"/>
        <v/>
      </c>
      <c r="D258" s="34"/>
      <c r="E258" s="33" t="str">
        <f t="shared" si="27"/>
        <v/>
      </c>
      <c r="F258" s="33" t="str">
        <f t="shared" si="28"/>
        <v/>
      </c>
      <c r="G258" s="35"/>
      <c r="H258" s="35"/>
      <c r="I258" s="33"/>
      <c r="J258" s="33" t="str">
        <f t="shared" si="29"/>
        <v/>
      </c>
      <c r="K258" s="36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8"/>
    </row>
    <row r="259" spans="1:35" x14ac:dyDescent="0.3">
      <c r="A259" s="32" t="str">
        <f t="shared" si="24"/>
        <v/>
      </c>
      <c r="B259" s="33" t="str">
        <f t="shared" si="25"/>
        <v/>
      </c>
      <c r="C259" s="33" t="str">
        <f t="shared" si="26"/>
        <v/>
      </c>
      <c r="D259" s="34"/>
      <c r="E259" s="33" t="str">
        <f t="shared" si="27"/>
        <v/>
      </c>
      <c r="F259" s="33" t="str">
        <f t="shared" si="28"/>
        <v/>
      </c>
      <c r="G259" s="35"/>
      <c r="H259" s="35"/>
      <c r="I259" s="33"/>
      <c r="J259" s="33" t="str">
        <f t="shared" si="29"/>
        <v/>
      </c>
      <c r="K259" s="36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8"/>
    </row>
    <row r="260" spans="1:35" x14ac:dyDescent="0.3">
      <c r="A260" s="32" t="str">
        <f t="shared" si="24"/>
        <v/>
      </c>
      <c r="B260" s="33" t="str">
        <f t="shared" si="25"/>
        <v/>
      </c>
      <c r="C260" s="33" t="str">
        <f t="shared" si="26"/>
        <v/>
      </c>
      <c r="D260" s="34"/>
      <c r="E260" s="33" t="str">
        <f t="shared" si="27"/>
        <v/>
      </c>
      <c r="F260" s="33" t="str">
        <f t="shared" si="28"/>
        <v/>
      </c>
      <c r="G260" s="35"/>
      <c r="H260" s="35"/>
      <c r="I260" s="33"/>
      <c r="J260" s="33" t="str">
        <f t="shared" si="29"/>
        <v/>
      </c>
      <c r="K260" s="36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8"/>
    </row>
    <row r="261" spans="1:35" x14ac:dyDescent="0.3">
      <c r="A261" s="32" t="str">
        <f t="shared" si="24"/>
        <v/>
      </c>
      <c r="B261" s="33" t="str">
        <f t="shared" si="25"/>
        <v/>
      </c>
      <c r="C261" s="33" t="str">
        <f t="shared" si="26"/>
        <v/>
      </c>
      <c r="D261" s="34"/>
      <c r="E261" s="33" t="str">
        <f t="shared" si="27"/>
        <v/>
      </c>
      <c r="F261" s="33" t="str">
        <f t="shared" si="28"/>
        <v/>
      </c>
      <c r="G261" s="35"/>
      <c r="H261" s="35"/>
      <c r="I261" s="33"/>
      <c r="J261" s="33" t="str">
        <f t="shared" si="29"/>
        <v/>
      </c>
      <c r="K261" s="36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8"/>
    </row>
    <row r="262" spans="1:35" x14ac:dyDescent="0.3">
      <c r="A262" s="32" t="str">
        <f t="shared" si="24"/>
        <v/>
      </c>
      <c r="B262" s="33" t="str">
        <f t="shared" si="25"/>
        <v/>
      </c>
      <c r="C262" s="33" t="str">
        <f t="shared" si="26"/>
        <v/>
      </c>
      <c r="D262" s="34"/>
      <c r="E262" s="33" t="str">
        <f t="shared" si="27"/>
        <v/>
      </c>
      <c r="F262" s="33" t="str">
        <f t="shared" si="28"/>
        <v/>
      </c>
      <c r="G262" s="35"/>
      <c r="H262" s="35"/>
      <c r="I262" s="33"/>
      <c r="J262" s="33" t="str">
        <f t="shared" si="29"/>
        <v/>
      </c>
      <c r="K262" s="36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8"/>
    </row>
    <row r="263" spans="1:35" x14ac:dyDescent="0.3">
      <c r="A263" s="32" t="str">
        <f t="shared" si="24"/>
        <v/>
      </c>
      <c r="B263" s="33" t="str">
        <f t="shared" si="25"/>
        <v/>
      </c>
      <c r="C263" s="33" t="str">
        <f t="shared" si="26"/>
        <v/>
      </c>
      <c r="D263" s="34"/>
      <c r="E263" s="33" t="str">
        <f t="shared" si="27"/>
        <v/>
      </c>
      <c r="F263" s="33" t="str">
        <f t="shared" si="28"/>
        <v/>
      </c>
      <c r="G263" s="35"/>
      <c r="H263" s="35"/>
      <c r="I263" s="33"/>
      <c r="J263" s="33" t="str">
        <f t="shared" si="29"/>
        <v/>
      </c>
      <c r="K263" s="36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8"/>
    </row>
    <row r="264" spans="1:35" x14ac:dyDescent="0.3">
      <c r="A264" s="32" t="str">
        <f t="shared" si="24"/>
        <v/>
      </c>
      <c r="B264" s="33" t="str">
        <f t="shared" si="25"/>
        <v/>
      </c>
      <c r="C264" s="33" t="str">
        <f t="shared" si="26"/>
        <v/>
      </c>
      <c r="D264" s="34"/>
      <c r="E264" s="33" t="str">
        <f t="shared" si="27"/>
        <v/>
      </c>
      <c r="F264" s="33" t="str">
        <f t="shared" si="28"/>
        <v/>
      </c>
      <c r="G264" s="35"/>
      <c r="H264" s="35"/>
      <c r="I264" s="33"/>
      <c r="J264" s="33" t="str">
        <f t="shared" si="29"/>
        <v/>
      </c>
      <c r="K264" s="36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8"/>
    </row>
    <row r="265" spans="1:35" x14ac:dyDescent="0.3">
      <c r="A265" s="32" t="str">
        <f t="shared" si="24"/>
        <v/>
      </c>
      <c r="B265" s="33" t="str">
        <f t="shared" si="25"/>
        <v/>
      </c>
      <c r="C265" s="33" t="str">
        <f t="shared" si="26"/>
        <v/>
      </c>
      <c r="D265" s="34"/>
      <c r="E265" s="33" t="str">
        <f t="shared" si="27"/>
        <v/>
      </c>
      <c r="F265" s="33" t="str">
        <f t="shared" si="28"/>
        <v/>
      </c>
      <c r="G265" s="35"/>
      <c r="H265" s="35"/>
      <c r="I265" s="33"/>
      <c r="J265" s="33" t="str">
        <f t="shared" si="29"/>
        <v/>
      </c>
      <c r="K265" s="36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8"/>
    </row>
    <row r="266" spans="1:35" x14ac:dyDescent="0.3">
      <c r="A266" s="32" t="str">
        <f t="shared" si="24"/>
        <v/>
      </c>
      <c r="B266" s="33" t="str">
        <f t="shared" si="25"/>
        <v/>
      </c>
      <c r="C266" s="33" t="str">
        <f t="shared" si="26"/>
        <v/>
      </c>
      <c r="D266" s="34"/>
      <c r="E266" s="33" t="str">
        <f t="shared" si="27"/>
        <v/>
      </c>
      <c r="F266" s="33" t="str">
        <f t="shared" si="28"/>
        <v/>
      </c>
      <c r="G266" s="35"/>
      <c r="H266" s="35"/>
      <c r="I266" s="33"/>
      <c r="J266" s="33" t="str">
        <f t="shared" si="29"/>
        <v/>
      </c>
      <c r="K266" s="36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8"/>
    </row>
    <row r="267" spans="1:35" x14ac:dyDescent="0.3">
      <c r="A267" s="32" t="str">
        <f t="shared" si="24"/>
        <v/>
      </c>
      <c r="B267" s="33" t="str">
        <f t="shared" si="25"/>
        <v/>
      </c>
      <c r="C267" s="33" t="str">
        <f t="shared" si="26"/>
        <v/>
      </c>
      <c r="D267" s="34"/>
      <c r="E267" s="33" t="str">
        <f t="shared" si="27"/>
        <v/>
      </c>
      <c r="F267" s="33" t="str">
        <f t="shared" si="28"/>
        <v/>
      </c>
      <c r="G267" s="35"/>
      <c r="H267" s="35"/>
      <c r="I267" s="33"/>
      <c r="J267" s="33" t="str">
        <f t="shared" si="29"/>
        <v/>
      </c>
      <c r="K267" s="36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8"/>
    </row>
    <row r="268" spans="1:35" x14ac:dyDescent="0.3">
      <c r="A268" s="32" t="str">
        <f t="shared" si="24"/>
        <v/>
      </c>
      <c r="B268" s="33" t="str">
        <f t="shared" si="25"/>
        <v/>
      </c>
      <c r="C268" s="33" t="str">
        <f t="shared" si="26"/>
        <v/>
      </c>
      <c r="D268" s="34"/>
      <c r="E268" s="33" t="str">
        <f t="shared" si="27"/>
        <v/>
      </c>
      <c r="F268" s="33" t="str">
        <f t="shared" si="28"/>
        <v/>
      </c>
      <c r="G268" s="35"/>
      <c r="H268" s="35"/>
      <c r="I268" s="33"/>
      <c r="J268" s="33" t="str">
        <f t="shared" si="29"/>
        <v/>
      </c>
      <c r="K268" s="36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8"/>
    </row>
    <row r="269" spans="1:35" x14ac:dyDescent="0.3">
      <c r="A269" s="32" t="str">
        <f t="shared" si="24"/>
        <v/>
      </c>
      <c r="B269" s="33" t="str">
        <f t="shared" si="25"/>
        <v/>
      </c>
      <c r="C269" s="33" t="str">
        <f t="shared" si="26"/>
        <v/>
      </c>
      <c r="D269" s="34"/>
      <c r="E269" s="33" t="str">
        <f t="shared" si="27"/>
        <v/>
      </c>
      <c r="F269" s="33" t="str">
        <f t="shared" si="28"/>
        <v/>
      </c>
      <c r="G269" s="35"/>
      <c r="H269" s="35"/>
      <c r="I269" s="33"/>
      <c r="J269" s="33" t="str">
        <f t="shared" si="29"/>
        <v/>
      </c>
      <c r="K269" s="36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8"/>
    </row>
    <row r="270" spans="1:35" x14ac:dyDescent="0.3">
      <c r="A270" s="32" t="str">
        <f t="shared" si="24"/>
        <v/>
      </c>
      <c r="B270" s="33" t="str">
        <f t="shared" si="25"/>
        <v/>
      </c>
      <c r="C270" s="33" t="str">
        <f t="shared" si="26"/>
        <v/>
      </c>
      <c r="D270" s="34"/>
      <c r="E270" s="33" t="str">
        <f t="shared" si="27"/>
        <v/>
      </c>
      <c r="F270" s="33" t="str">
        <f t="shared" si="28"/>
        <v/>
      </c>
      <c r="G270" s="35"/>
      <c r="H270" s="35"/>
      <c r="I270" s="33"/>
      <c r="J270" s="33" t="str">
        <f t="shared" si="29"/>
        <v/>
      </c>
      <c r="K270" s="36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8"/>
    </row>
    <row r="271" spans="1:35" x14ac:dyDescent="0.3">
      <c r="A271" s="32" t="str">
        <f t="shared" si="24"/>
        <v/>
      </c>
      <c r="B271" s="33" t="str">
        <f t="shared" si="25"/>
        <v/>
      </c>
      <c r="C271" s="33" t="str">
        <f t="shared" si="26"/>
        <v/>
      </c>
      <c r="D271" s="34"/>
      <c r="E271" s="33" t="str">
        <f t="shared" si="27"/>
        <v/>
      </c>
      <c r="F271" s="33" t="str">
        <f t="shared" si="28"/>
        <v/>
      </c>
      <c r="G271" s="35"/>
      <c r="H271" s="35"/>
      <c r="I271" s="33"/>
      <c r="J271" s="33" t="str">
        <f t="shared" si="29"/>
        <v/>
      </c>
      <c r="K271" s="36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8"/>
    </row>
    <row r="272" spans="1:35" x14ac:dyDescent="0.3">
      <c r="A272" s="32" t="str">
        <f t="shared" si="24"/>
        <v/>
      </c>
      <c r="B272" s="33" t="str">
        <f t="shared" si="25"/>
        <v/>
      </c>
      <c r="C272" s="33" t="str">
        <f t="shared" si="26"/>
        <v/>
      </c>
      <c r="D272" s="34"/>
      <c r="E272" s="33" t="str">
        <f t="shared" si="27"/>
        <v/>
      </c>
      <c r="F272" s="33" t="str">
        <f t="shared" si="28"/>
        <v/>
      </c>
      <c r="G272" s="35"/>
      <c r="H272" s="35"/>
      <c r="I272" s="33"/>
      <c r="J272" s="33" t="str">
        <f t="shared" si="29"/>
        <v/>
      </c>
      <c r="K272" s="36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8"/>
    </row>
    <row r="273" spans="1:35" x14ac:dyDescent="0.3">
      <c r="A273" s="32" t="str">
        <f t="shared" ref="A273:A336" si="30">IF($K273="", "", ROW()-15)</f>
        <v/>
      </c>
      <c r="B273" s="33" t="str">
        <f t="shared" ref="B273:B336" si="31">IFERROR(IF(ISNUMBER(SEARCH("Q", $K273)), "Q", MID(RIGHT($J273, 4), 1, 1)), "")</f>
        <v/>
      </c>
      <c r="C273" s="33" t="str">
        <f t="shared" ref="C273:C336" si="32">IFERROR(IF(ISNUMBER(SEARCH("Q", $K273)), LEFT($K273, LEN($K273)-15), LEFT($K273, LEN($K273)-8)), "")</f>
        <v/>
      </c>
      <c r="D273" s="34"/>
      <c r="E273" s="33" t="str">
        <f t="shared" ref="E273:E336" si="33">IFERROR(IF($F273="", "", IF($F273="01", "최초", "추가")), " ")</f>
        <v/>
      </c>
      <c r="F273" s="33" t="str">
        <f t="shared" ref="F273:F336" si="34">IFERROR(IF(ISNUMBER(SEARCH("Q", $K273)), MID(RIGHT($K273, 9), 1, 2), RIGHT($K273, 2)), "")</f>
        <v/>
      </c>
      <c r="G273" s="35"/>
      <c r="H273" s="35"/>
      <c r="I273" s="33"/>
      <c r="J273" s="33" t="str">
        <f t="shared" ref="J273:J336" si="35">IFERROR(IF(ISNUMBER(SEARCH("Q", $K273)), LEFT($K273, LEN($K273)-10), LEFT($K273, LEN($K273)-3)), "")</f>
        <v/>
      </c>
      <c r="K273" s="36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8"/>
    </row>
    <row r="274" spans="1:35" x14ac:dyDescent="0.3">
      <c r="A274" s="32" t="str">
        <f t="shared" si="30"/>
        <v/>
      </c>
      <c r="B274" s="33" t="str">
        <f t="shared" si="31"/>
        <v/>
      </c>
      <c r="C274" s="33" t="str">
        <f t="shared" si="32"/>
        <v/>
      </c>
      <c r="D274" s="34"/>
      <c r="E274" s="33" t="str">
        <f t="shared" si="33"/>
        <v/>
      </c>
      <c r="F274" s="33" t="str">
        <f t="shared" si="34"/>
        <v/>
      </c>
      <c r="G274" s="35"/>
      <c r="H274" s="35"/>
      <c r="I274" s="33"/>
      <c r="J274" s="33" t="str">
        <f t="shared" si="35"/>
        <v/>
      </c>
      <c r="K274" s="36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8"/>
    </row>
    <row r="275" spans="1:35" x14ac:dyDescent="0.3">
      <c r="A275" s="32" t="str">
        <f t="shared" si="30"/>
        <v/>
      </c>
      <c r="B275" s="33" t="str">
        <f t="shared" si="31"/>
        <v/>
      </c>
      <c r="C275" s="33" t="str">
        <f t="shared" si="32"/>
        <v/>
      </c>
      <c r="D275" s="34"/>
      <c r="E275" s="33" t="str">
        <f t="shared" si="33"/>
        <v/>
      </c>
      <c r="F275" s="33" t="str">
        <f t="shared" si="34"/>
        <v/>
      </c>
      <c r="G275" s="35"/>
      <c r="H275" s="35"/>
      <c r="I275" s="33"/>
      <c r="J275" s="33" t="str">
        <f t="shared" si="35"/>
        <v/>
      </c>
      <c r="K275" s="36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8"/>
    </row>
    <row r="276" spans="1:35" x14ac:dyDescent="0.3">
      <c r="A276" s="32" t="str">
        <f t="shared" si="30"/>
        <v/>
      </c>
      <c r="B276" s="33" t="str">
        <f t="shared" si="31"/>
        <v/>
      </c>
      <c r="C276" s="33" t="str">
        <f t="shared" si="32"/>
        <v/>
      </c>
      <c r="D276" s="34"/>
      <c r="E276" s="33" t="str">
        <f t="shared" si="33"/>
        <v/>
      </c>
      <c r="F276" s="33" t="str">
        <f t="shared" si="34"/>
        <v/>
      </c>
      <c r="G276" s="35"/>
      <c r="H276" s="35"/>
      <c r="I276" s="33"/>
      <c r="J276" s="33" t="str">
        <f t="shared" si="35"/>
        <v/>
      </c>
      <c r="K276" s="36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8"/>
    </row>
    <row r="277" spans="1:35" x14ac:dyDescent="0.3">
      <c r="A277" s="32" t="str">
        <f t="shared" si="30"/>
        <v/>
      </c>
      <c r="B277" s="33" t="str">
        <f t="shared" si="31"/>
        <v/>
      </c>
      <c r="C277" s="33" t="str">
        <f t="shared" si="32"/>
        <v/>
      </c>
      <c r="D277" s="34"/>
      <c r="E277" s="33" t="str">
        <f t="shared" si="33"/>
        <v/>
      </c>
      <c r="F277" s="33" t="str">
        <f t="shared" si="34"/>
        <v/>
      </c>
      <c r="G277" s="35"/>
      <c r="H277" s="35"/>
      <c r="I277" s="33"/>
      <c r="J277" s="33" t="str">
        <f t="shared" si="35"/>
        <v/>
      </c>
      <c r="K277" s="36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8"/>
    </row>
    <row r="278" spans="1:35" x14ac:dyDescent="0.3">
      <c r="A278" s="32" t="str">
        <f t="shared" si="30"/>
        <v/>
      </c>
      <c r="B278" s="33" t="str">
        <f t="shared" si="31"/>
        <v/>
      </c>
      <c r="C278" s="33" t="str">
        <f t="shared" si="32"/>
        <v/>
      </c>
      <c r="D278" s="34"/>
      <c r="E278" s="33" t="str">
        <f t="shared" si="33"/>
        <v/>
      </c>
      <c r="F278" s="33" t="str">
        <f t="shared" si="34"/>
        <v/>
      </c>
      <c r="G278" s="35"/>
      <c r="H278" s="35"/>
      <c r="I278" s="33"/>
      <c r="J278" s="33" t="str">
        <f t="shared" si="35"/>
        <v/>
      </c>
      <c r="K278" s="36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8"/>
    </row>
    <row r="279" spans="1:35" x14ac:dyDescent="0.3">
      <c r="A279" s="32" t="str">
        <f t="shared" si="30"/>
        <v/>
      </c>
      <c r="B279" s="33" t="str">
        <f t="shared" si="31"/>
        <v/>
      </c>
      <c r="C279" s="33" t="str">
        <f t="shared" si="32"/>
        <v/>
      </c>
      <c r="D279" s="34"/>
      <c r="E279" s="33" t="str">
        <f t="shared" si="33"/>
        <v/>
      </c>
      <c r="F279" s="33" t="str">
        <f t="shared" si="34"/>
        <v/>
      </c>
      <c r="G279" s="35"/>
      <c r="H279" s="35"/>
      <c r="I279" s="33"/>
      <c r="J279" s="33" t="str">
        <f t="shared" si="35"/>
        <v/>
      </c>
      <c r="K279" s="36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8"/>
    </row>
    <row r="280" spans="1:35" x14ac:dyDescent="0.3">
      <c r="A280" s="32" t="str">
        <f t="shared" si="30"/>
        <v/>
      </c>
      <c r="B280" s="33" t="str">
        <f t="shared" si="31"/>
        <v/>
      </c>
      <c r="C280" s="33" t="str">
        <f t="shared" si="32"/>
        <v/>
      </c>
      <c r="D280" s="34"/>
      <c r="E280" s="33" t="str">
        <f t="shared" si="33"/>
        <v/>
      </c>
      <c r="F280" s="33" t="str">
        <f t="shared" si="34"/>
        <v/>
      </c>
      <c r="G280" s="35"/>
      <c r="H280" s="35"/>
      <c r="I280" s="33"/>
      <c r="J280" s="33" t="str">
        <f t="shared" si="35"/>
        <v/>
      </c>
      <c r="K280" s="36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8"/>
    </row>
    <row r="281" spans="1:35" x14ac:dyDescent="0.3">
      <c r="A281" s="32" t="str">
        <f t="shared" si="30"/>
        <v/>
      </c>
      <c r="B281" s="33" t="str">
        <f t="shared" si="31"/>
        <v/>
      </c>
      <c r="C281" s="33" t="str">
        <f t="shared" si="32"/>
        <v/>
      </c>
      <c r="D281" s="34"/>
      <c r="E281" s="33" t="str">
        <f t="shared" si="33"/>
        <v/>
      </c>
      <c r="F281" s="33" t="str">
        <f t="shared" si="34"/>
        <v/>
      </c>
      <c r="G281" s="35"/>
      <c r="H281" s="35"/>
      <c r="I281" s="33"/>
      <c r="J281" s="33" t="str">
        <f t="shared" si="35"/>
        <v/>
      </c>
      <c r="K281" s="36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8"/>
    </row>
    <row r="282" spans="1:35" x14ac:dyDescent="0.3">
      <c r="A282" s="32" t="str">
        <f t="shared" si="30"/>
        <v/>
      </c>
      <c r="B282" s="33" t="str">
        <f t="shared" si="31"/>
        <v/>
      </c>
      <c r="C282" s="33" t="str">
        <f t="shared" si="32"/>
        <v/>
      </c>
      <c r="D282" s="34"/>
      <c r="E282" s="33" t="str">
        <f t="shared" si="33"/>
        <v/>
      </c>
      <c r="F282" s="33" t="str">
        <f t="shared" si="34"/>
        <v/>
      </c>
      <c r="G282" s="35"/>
      <c r="H282" s="35"/>
      <c r="I282" s="33"/>
      <c r="J282" s="33" t="str">
        <f t="shared" si="35"/>
        <v/>
      </c>
      <c r="K282" s="36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8"/>
    </row>
    <row r="283" spans="1:35" x14ac:dyDescent="0.3">
      <c r="A283" s="32" t="str">
        <f t="shared" si="30"/>
        <v/>
      </c>
      <c r="B283" s="33" t="str">
        <f t="shared" si="31"/>
        <v/>
      </c>
      <c r="C283" s="33" t="str">
        <f t="shared" si="32"/>
        <v/>
      </c>
      <c r="D283" s="34"/>
      <c r="E283" s="33" t="str">
        <f t="shared" si="33"/>
        <v/>
      </c>
      <c r="F283" s="33" t="str">
        <f t="shared" si="34"/>
        <v/>
      </c>
      <c r="G283" s="35"/>
      <c r="H283" s="35"/>
      <c r="I283" s="33"/>
      <c r="J283" s="33" t="str">
        <f t="shared" si="35"/>
        <v/>
      </c>
      <c r="K283" s="36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8"/>
    </row>
    <row r="284" spans="1:35" x14ac:dyDescent="0.3">
      <c r="A284" s="32" t="str">
        <f t="shared" si="30"/>
        <v/>
      </c>
      <c r="B284" s="33" t="str">
        <f t="shared" si="31"/>
        <v/>
      </c>
      <c r="C284" s="33" t="str">
        <f t="shared" si="32"/>
        <v/>
      </c>
      <c r="D284" s="34"/>
      <c r="E284" s="33" t="str">
        <f t="shared" si="33"/>
        <v/>
      </c>
      <c r="F284" s="33" t="str">
        <f t="shared" si="34"/>
        <v/>
      </c>
      <c r="G284" s="35"/>
      <c r="H284" s="35"/>
      <c r="I284" s="33"/>
      <c r="J284" s="33" t="str">
        <f t="shared" si="35"/>
        <v/>
      </c>
      <c r="K284" s="36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8"/>
    </row>
    <row r="285" spans="1:35" x14ac:dyDescent="0.3">
      <c r="A285" s="32" t="str">
        <f t="shared" si="30"/>
        <v/>
      </c>
      <c r="B285" s="33" t="str">
        <f t="shared" si="31"/>
        <v/>
      </c>
      <c r="C285" s="33" t="str">
        <f t="shared" si="32"/>
        <v/>
      </c>
      <c r="D285" s="34"/>
      <c r="E285" s="33" t="str">
        <f t="shared" si="33"/>
        <v/>
      </c>
      <c r="F285" s="33" t="str">
        <f t="shared" si="34"/>
        <v/>
      </c>
      <c r="G285" s="35"/>
      <c r="H285" s="35"/>
      <c r="I285" s="33"/>
      <c r="J285" s="33" t="str">
        <f t="shared" si="35"/>
        <v/>
      </c>
      <c r="K285" s="36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8"/>
    </row>
    <row r="286" spans="1:35" x14ac:dyDescent="0.3">
      <c r="A286" s="32" t="str">
        <f t="shared" si="30"/>
        <v/>
      </c>
      <c r="B286" s="33" t="str">
        <f t="shared" si="31"/>
        <v/>
      </c>
      <c r="C286" s="33" t="str">
        <f t="shared" si="32"/>
        <v/>
      </c>
      <c r="D286" s="34"/>
      <c r="E286" s="33" t="str">
        <f t="shared" si="33"/>
        <v/>
      </c>
      <c r="F286" s="33" t="str">
        <f t="shared" si="34"/>
        <v/>
      </c>
      <c r="G286" s="35"/>
      <c r="H286" s="35"/>
      <c r="I286" s="33"/>
      <c r="J286" s="33" t="str">
        <f t="shared" si="35"/>
        <v/>
      </c>
      <c r="K286" s="36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8"/>
    </row>
    <row r="287" spans="1:35" x14ac:dyDescent="0.3">
      <c r="A287" s="32" t="str">
        <f t="shared" si="30"/>
        <v/>
      </c>
      <c r="B287" s="33" t="str">
        <f t="shared" si="31"/>
        <v/>
      </c>
      <c r="C287" s="33" t="str">
        <f t="shared" si="32"/>
        <v/>
      </c>
      <c r="D287" s="34"/>
      <c r="E287" s="33" t="str">
        <f t="shared" si="33"/>
        <v/>
      </c>
      <c r="F287" s="33" t="str">
        <f t="shared" si="34"/>
        <v/>
      </c>
      <c r="G287" s="35"/>
      <c r="H287" s="35"/>
      <c r="I287" s="33"/>
      <c r="J287" s="33" t="str">
        <f t="shared" si="35"/>
        <v/>
      </c>
      <c r="K287" s="36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8"/>
    </row>
    <row r="288" spans="1:35" x14ac:dyDescent="0.3">
      <c r="A288" s="32" t="str">
        <f t="shared" si="30"/>
        <v/>
      </c>
      <c r="B288" s="33" t="str">
        <f t="shared" si="31"/>
        <v/>
      </c>
      <c r="C288" s="33" t="str">
        <f t="shared" si="32"/>
        <v/>
      </c>
      <c r="D288" s="34"/>
      <c r="E288" s="33" t="str">
        <f t="shared" si="33"/>
        <v/>
      </c>
      <c r="F288" s="33" t="str">
        <f t="shared" si="34"/>
        <v/>
      </c>
      <c r="G288" s="35"/>
      <c r="H288" s="35"/>
      <c r="I288" s="33"/>
      <c r="J288" s="33" t="str">
        <f t="shared" si="35"/>
        <v/>
      </c>
      <c r="K288" s="36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8"/>
    </row>
    <row r="289" spans="1:35" x14ac:dyDescent="0.3">
      <c r="A289" s="32" t="str">
        <f t="shared" si="30"/>
        <v/>
      </c>
      <c r="B289" s="33" t="str">
        <f t="shared" si="31"/>
        <v/>
      </c>
      <c r="C289" s="33" t="str">
        <f t="shared" si="32"/>
        <v/>
      </c>
      <c r="D289" s="34"/>
      <c r="E289" s="33" t="str">
        <f t="shared" si="33"/>
        <v/>
      </c>
      <c r="F289" s="33" t="str">
        <f t="shared" si="34"/>
        <v/>
      </c>
      <c r="G289" s="35"/>
      <c r="H289" s="35"/>
      <c r="I289" s="33"/>
      <c r="J289" s="33" t="str">
        <f t="shared" si="35"/>
        <v/>
      </c>
      <c r="K289" s="36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8"/>
    </row>
    <row r="290" spans="1:35" x14ac:dyDescent="0.3">
      <c r="A290" s="32" t="str">
        <f t="shared" si="30"/>
        <v/>
      </c>
      <c r="B290" s="33" t="str">
        <f t="shared" si="31"/>
        <v/>
      </c>
      <c r="C290" s="33" t="str">
        <f t="shared" si="32"/>
        <v/>
      </c>
      <c r="D290" s="34"/>
      <c r="E290" s="33" t="str">
        <f t="shared" si="33"/>
        <v/>
      </c>
      <c r="F290" s="33" t="str">
        <f t="shared" si="34"/>
        <v/>
      </c>
      <c r="G290" s="35"/>
      <c r="H290" s="35"/>
      <c r="I290" s="33"/>
      <c r="J290" s="33" t="str">
        <f t="shared" si="35"/>
        <v/>
      </c>
      <c r="K290" s="36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8"/>
    </row>
    <row r="291" spans="1:35" x14ac:dyDescent="0.3">
      <c r="A291" s="32" t="str">
        <f t="shared" si="30"/>
        <v/>
      </c>
      <c r="B291" s="33" t="str">
        <f t="shared" si="31"/>
        <v/>
      </c>
      <c r="C291" s="33" t="str">
        <f t="shared" si="32"/>
        <v/>
      </c>
      <c r="D291" s="34"/>
      <c r="E291" s="33" t="str">
        <f t="shared" si="33"/>
        <v/>
      </c>
      <c r="F291" s="33" t="str">
        <f t="shared" si="34"/>
        <v/>
      </c>
      <c r="G291" s="35"/>
      <c r="H291" s="35"/>
      <c r="I291" s="33"/>
      <c r="J291" s="33" t="str">
        <f t="shared" si="35"/>
        <v/>
      </c>
      <c r="K291" s="36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8"/>
    </row>
    <row r="292" spans="1:35" x14ac:dyDescent="0.3">
      <c r="A292" s="32" t="str">
        <f t="shared" si="30"/>
        <v/>
      </c>
      <c r="B292" s="33" t="str">
        <f t="shared" si="31"/>
        <v/>
      </c>
      <c r="C292" s="33" t="str">
        <f t="shared" si="32"/>
        <v/>
      </c>
      <c r="D292" s="34"/>
      <c r="E292" s="33" t="str">
        <f t="shared" si="33"/>
        <v/>
      </c>
      <c r="F292" s="33" t="str">
        <f t="shared" si="34"/>
        <v/>
      </c>
      <c r="G292" s="35"/>
      <c r="H292" s="35"/>
      <c r="I292" s="33"/>
      <c r="J292" s="33" t="str">
        <f t="shared" si="35"/>
        <v/>
      </c>
      <c r="K292" s="36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8"/>
    </row>
    <row r="293" spans="1:35" x14ac:dyDescent="0.3">
      <c r="A293" s="32" t="str">
        <f t="shared" si="30"/>
        <v/>
      </c>
      <c r="B293" s="33" t="str">
        <f t="shared" si="31"/>
        <v/>
      </c>
      <c r="C293" s="33" t="str">
        <f t="shared" si="32"/>
        <v/>
      </c>
      <c r="D293" s="34"/>
      <c r="E293" s="33" t="str">
        <f t="shared" si="33"/>
        <v/>
      </c>
      <c r="F293" s="33" t="str">
        <f t="shared" si="34"/>
        <v/>
      </c>
      <c r="G293" s="35"/>
      <c r="H293" s="35"/>
      <c r="I293" s="33"/>
      <c r="J293" s="33" t="str">
        <f t="shared" si="35"/>
        <v/>
      </c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8"/>
    </row>
    <row r="294" spans="1:35" x14ac:dyDescent="0.3">
      <c r="A294" s="32" t="str">
        <f t="shared" si="30"/>
        <v/>
      </c>
      <c r="B294" s="33" t="str">
        <f t="shared" si="31"/>
        <v/>
      </c>
      <c r="C294" s="33" t="str">
        <f t="shared" si="32"/>
        <v/>
      </c>
      <c r="D294" s="34"/>
      <c r="E294" s="33" t="str">
        <f t="shared" si="33"/>
        <v/>
      </c>
      <c r="F294" s="33" t="str">
        <f t="shared" si="34"/>
        <v/>
      </c>
      <c r="G294" s="35"/>
      <c r="H294" s="35"/>
      <c r="I294" s="33"/>
      <c r="J294" s="33" t="str">
        <f t="shared" si="35"/>
        <v/>
      </c>
      <c r="K294" s="36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8"/>
    </row>
    <row r="295" spans="1:35" x14ac:dyDescent="0.3">
      <c r="A295" s="32" t="str">
        <f t="shared" si="30"/>
        <v/>
      </c>
      <c r="B295" s="33" t="str">
        <f t="shared" si="31"/>
        <v/>
      </c>
      <c r="C295" s="33" t="str">
        <f t="shared" si="32"/>
        <v/>
      </c>
      <c r="D295" s="34"/>
      <c r="E295" s="33" t="str">
        <f t="shared" si="33"/>
        <v/>
      </c>
      <c r="F295" s="33" t="str">
        <f t="shared" si="34"/>
        <v/>
      </c>
      <c r="G295" s="35"/>
      <c r="H295" s="35"/>
      <c r="I295" s="33"/>
      <c r="J295" s="33" t="str">
        <f t="shared" si="35"/>
        <v/>
      </c>
      <c r="K295" s="36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8"/>
    </row>
    <row r="296" spans="1:35" x14ac:dyDescent="0.3">
      <c r="A296" s="32" t="str">
        <f t="shared" si="30"/>
        <v/>
      </c>
      <c r="B296" s="33" t="str">
        <f t="shared" si="31"/>
        <v/>
      </c>
      <c r="C296" s="33" t="str">
        <f t="shared" si="32"/>
        <v/>
      </c>
      <c r="D296" s="34"/>
      <c r="E296" s="33" t="str">
        <f t="shared" si="33"/>
        <v/>
      </c>
      <c r="F296" s="33" t="str">
        <f t="shared" si="34"/>
        <v/>
      </c>
      <c r="G296" s="35"/>
      <c r="H296" s="35"/>
      <c r="I296" s="33"/>
      <c r="J296" s="33" t="str">
        <f t="shared" si="35"/>
        <v/>
      </c>
      <c r="K296" s="36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8"/>
    </row>
    <row r="297" spans="1:35" x14ac:dyDescent="0.3">
      <c r="A297" s="32" t="str">
        <f t="shared" si="30"/>
        <v/>
      </c>
      <c r="B297" s="33" t="str">
        <f t="shared" si="31"/>
        <v/>
      </c>
      <c r="C297" s="33" t="str">
        <f t="shared" si="32"/>
        <v/>
      </c>
      <c r="D297" s="34"/>
      <c r="E297" s="33" t="str">
        <f t="shared" si="33"/>
        <v/>
      </c>
      <c r="F297" s="33" t="str">
        <f t="shared" si="34"/>
        <v/>
      </c>
      <c r="G297" s="35"/>
      <c r="H297" s="35"/>
      <c r="I297" s="33"/>
      <c r="J297" s="33" t="str">
        <f t="shared" si="35"/>
        <v/>
      </c>
      <c r="K297" s="36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8"/>
    </row>
    <row r="298" spans="1:35" x14ac:dyDescent="0.3">
      <c r="A298" s="32" t="str">
        <f t="shared" si="30"/>
        <v/>
      </c>
      <c r="B298" s="33" t="str">
        <f t="shared" si="31"/>
        <v/>
      </c>
      <c r="C298" s="33" t="str">
        <f t="shared" si="32"/>
        <v/>
      </c>
      <c r="D298" s="34"/>
      <c r="E298" s="33" t="str">
        <f t="shared" si="33"/>
        <v/>
      </c>
      <c r="F298" s="33" t="str">
        <f t="shared" si="34"/>
        <v/>
      </c>
      <c r="G298" s="35"/>
      <c r="H298" s="35"/>
      <c r="I298" s="33"/>
      <c r="J298" s="33" t="str">
        <f t="shared" si="35"/>
        <v/>
      </c>
      <c r="K298" s="36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8"/>
    </row>
    <row r="299" spans="1:35" x14ac:dyDescent="0.3">
      <c r="A299" s="32" t="str">
        <f t="shared" si="30"/>
        <v/>
      </c>
      <c r="B299" s="33" t="str">
        <f t="shared" si="31"/>
        <v/>
      </c>
      <c r="C299" s="33" t="str">
        <f t="shared" si="32"/>
        <v/>
      </c>
      <c r="D299" s="34"/>
      <c r="E299" s="33" t="str">
        <f t="shared" si="33"/>
        <v/>
      </c>
      <c r="F299" s="33" t="str">
        <f t="shared" si="34"/>
        <v/>
      </c>
      <c r="G299" s="35"/>
      <c r="H299" s="35"/>
      <c r="I299" s="33"/>
      <c r="J299" s="33" t="str">
        <f t="shared" si="35"/>
        <v/>
      </c>
      <c r="K299" s="36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8"/>
    </row>
    <row r="300" spans="1:35" x14ac:dyDescent="0.3">
      <c r="A300" s="32" t="str">
        <f t="shared" si="30"/>
        <v/>
      </c>
      <c r="B300" s="33" t="str">
        <f t="shared" si="31"/>
        <v/>
      </c>
      <c r="C300" s="33" t="str">
        <f t="shared" si="32"/>
        <v/>
      </c>
      <c r="D300" s="34"/>
      <c r="E300" s="33" t="str">
        <f t="shared" si="33"/>
        <v/>
      </c>
      <c r="F300" s="33" t="str">
        <f t="shared" si="34"/>
        <v/>
      </c>
      <c r="G300" s="35"/>
      <c r="H300" s="35"/>
      <c r="I300" s="33"/>
      <c r="J300" s="33" t="str">
        <f t="shared" si="35"/>
        <v/>
      </c>
      <c r="K300" s="36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8"/>
    </row>
    <row r="301" spans="1:35" x14ac:dyDescent="0.3">
      <c r="A301" s="32" t="str">
        <f t="shared" si="30"/>
        <v/>
      </c>
      <c r="B301" s="33" t="str">
        <f t="shared" si="31"/>
        <v/>
      </c>
      <c r="C301" s="33" t="str">
        <f t="shared" si="32"/>
        <v/>
      </c>
      <c r="D301" s="34"/>
      <c r="E301" s="33" t="str">
        <f t="shared" si="33"/>
        <v/>
      </c>
      <c r="F301" s="33" t="str">
        <f t="shared" si="34"/>
        <v/>
      </c>
      <c r="G301" s="35"/>
      <c r="H301" s="35"/>
      <c r="I301" s="33"/>
      <c r="J301" s="33" t="str">
        <f t="shared" si="35"/>
        <v/>
      </c>
      <c r="K301" s="36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8"/>
    </row>
    <row r="302" spans="1:35" x14ac:dyDescent="0.3">
      <c r="A302" s="32" t="str">
        <f t="shared" si="30"/>
        <v/>
      </c>
      <c r="B302" s="33" t="str">
        <f t="shared" si="31"/>
        <v/>
      </c>
      <c r="C302" s="33" t="str">
        <f t="shared" si="32"/>
        <v/>
      </c>
      <c r="D302" s="34"/>
      <c r="E302" s="33" t="str">
        <f t="shared" si="33"/>
        <v/>
      </c>
      <c r="F302" s="33" t="str">
        <f t="shared" si="34"/>
        <v/>
      </c>
      <c r="G302" s="35"/>
      <c r="H302" s="35"/>
      <c r="I302" s="33"/>
      <c r="J302" s="33" t="str">
        <f t="shared" si="35"/>
        <v/>
      </c>
      <c r="K302" s="36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8"/>
    </row>
    <row r="303" spans="1:35" x14ac:dyDescent="0.3">
      <c r="A303" s="32" t="str">
        <f t="shared" si="30"/>
        <v/>
      </c>
      <c r="B303" s="33" t="str">
        <f t="shared" si="31"/>
        <v/>
      </c>
      <c r="C303" s="33" t="str">
        <f t="shared" si="32"/>
        <v/>
      </c>
      <c r="D303" s="34"/>
      <c r="E303" s="33" t="str">
        <f t="shared" si="33"/>
        <v/>
      </c>
      <c r="F303" s="33" t="str">
        <f t="shared" si="34"/>
        <v/>
      </c>
      <c r="G303" s="35"/>
      <c r="H303" s="35"/>
      <c r="I303" s="33"/>
      <c r="J303" s="33" t="str">
        <f t="shared" si="35"/>
        <v/>
      </c>
      <c r="K303" s="36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8"/>
    </row>
    <row r="304" spans="1:35" x14ac:dyDescent="0.3">
      <c r="A304" s="32" t="str">
        <f t="shared" si="30"/>
        <v/>
      </c>
      <c r="B304" s="33" t="str">
        <f t="shared" si="31"/>
        <v/>
      </c>
      <c r="C304" s="33" t="str">
        <f t="shared" si="32"/>
        <v/>
      </c>
      <c r="D304" s="34"/>
      <c r="E304" s="33" t="str">
        <f t="shared" si="33"/>
        <v/>
      </c>
      <c r="F304" s="33" t="str">
        <f t="shared" si="34"/>
        <v/>
      </c>
      <c r="G304" s="35"/>
      <c r="H304" s="35"/>
      <c r="I304" s="33"/>
      <c r="J304" s="33" t="str">
        <f t="shared" si="35"/>
        <v/>
      </c>
      <c r="K304" s="36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8"/>
    </row>
    <row r="305" spans="1:35" x14ac:dyDescent="0.3">
      <c r="A305" s="32" t="str">
        <f t="shared" si="30"/>
        <v/>
      </c>
      <c r="B305" s="33" t="str">
        <f t="shared" si="31"/>
        <v/>
      </c>
      <c r="C305" s="33" t="str">
        <f t="shared" si="32"/>
        <v/>
      </c>
      <c r="D305" s="34"/>
      <c r="E305" s="33" t="str">
        <f t="shared" si="33"/>
        <v/>
      </c>
      <c r="F305" s="33" t="str">
        <f t="shared" si="34"/>
        <v/>
      </c>
      <c r="G305" s="35"/>
      <c r="H305" s="35"/>
      <c r="I305" s="33"/>
      <c r="J305" s="33" t="str">
        <f t="shared" si="35"/>
        <v/>
      </c>
      <c r="K305" s="36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8"/>
    </row>
    <row r="306" spans="1:35" x14ac:dyDescent="0.3">
      <c r="A306" s="32" t="str">
        <f t="shared" si="30"/>
        <v/>
      </c>
      <c r="B306" s="33" t="str">
        <f t="shared" si="31"/>
        <v/>
      </c>
      <c r="C306" s="33" t="str">
        <f t="shared" si="32"/>
        <v/>
      </c>
      <c r="D306" s="34"/>
      <c r="E306" s="33" t="str">
        <f t="shared" si="33"/>
        <v/>
      </c>
      <c r="F306" s="33" t="str">
        <f t="shared" si="34"/>
        <v/>
      </c>
      <c r="G306" s="35"/>
      <c r="H306" s="35"/>
      <c r="I306" s="33"/>
      <c r="J306" s="33" t="str">
        <f t="shared" si="35"/>
        <v/>
      </c>
      <c r="K306" s="36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8"/>
    </row>
    <row r="307" spans="1:35" x14ac:dyDescent="0.3">
      <c r="A307" s="32" t="str">
        <f t="shared" si="30"/>
        <v/>
      </c>
      <c r="B307" s="33" t="str">
        <f t="shared" si="31"/>
        <v/>
      </c>
      <c r="C307" s="33" t="str">
        <f t="shared" si="32"/>
        <v/>
      </c>
      <c r="D307" s="34"/>
      <c r="E307" s="33" t="str">
        <f t="shared" si="33"/>
        <v/>
      </c>
      <c r="F307" s="33" t="str">
        <f t="shared" si="34"/>
        <v/>
      </c>
      <c r="G307" s="35"/>
      <c r="H307" s="35"/>
      <c r="I307" s="33"/>
      <c r="J307" s="33" t="str">
        <f t="shared" si="35"/>
        <v/>
      </c>
      <c r="K307" s="36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8"/>
    </row>
    <row r="308" spans="1:35" x14ac:dyDescent="0.3">
      <c r="A308" s="32" t="str">
        <f t="shared" si="30"/>
        <v/>
      </c>
      <c r="B308" s="33" t="str">
        <f t="shared" si="31"/>
        <v/>
      </c>
      <c r="C308" s="33" t="str">
        <f t="shared" si="32"/>
        <v/>
      </c>
      <c r="D308" s="34"/>
      <c r="E308" s="33" t="str">
        <f t="shared" si="33"/>
        <v/>
      </c>
      <c r="F308" s="33" t="str">
        <f t="shared" si="34"/>
        <v/>
      </c>
      <c r="G308" s="35"/>
      <c r="H308" s="35"/>
      <c r="I308" s="33"/>
      <c r="J308" s="33" t="str">
        <f t="shared" si="35"/>
        <v/>
      </c>
      <c r="K308" s="36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8"/>
    </row>
    <row r="309" spans="1:35" x14ac:dyDescent="0.3">
      <c r="A309" s="32" t="str">
        <f t="shared" si="30"/>
        <v/>
      </c>
      <c r="B309" s="33" t="str">
        <f t="shared" si="31"/>
        <v/>
      </c>
      <c r="C309" s="33" t="str">
        <f t="shared" si="32"/>
        <v/>
      </c>
      <c r="D309" s="34"/>
      <c r="E309" s="33" t="str">
        <f t="shared" si="33"/>
        <v/>
      </c>
      <c r="F309" s="33" t="str">
        <f t="shared" si="34"/>
        <v/>
      </c>
      <c r="G309" s="35"/>
      <c r="H309" s="35"/>
      <c r="I309" s="33"/>
      <c r="J309" s="33" t="str">
        <f t="shared" si="35"/>
        <v/>
      </c>
      <c r="K309" s="36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8"/>
    </row>
    <row r="310" spans="1:35" x14ac:dyDescent="0.3">
      <c r="A310" s="32" t="str">
        <f t="shared" si="30"/>
        <v/>
      </c>
      <c r="B310" s="33" t="str">
        <f t="shared" si="31"/>
        <v/>
      </c>
      <c r="C310" s="33" t="str">
        <f t="shared" si="32"/>
        <v/>
      </c>
      <c r="D310" s="34"/>
      <c r="E310" s="33" t="str">
        <f t="shared" si="33"/>
        <v/>
      </c>
      <c r="F310" s="33" t="str">
        <f t="shared" si="34"/>
        <v/>
      </c>
      <c r="G310" s="35"/>
      <c r="H310" s="35"/>
      <c r="I310" s="33"/>
      <c r="J310" s="33" t="str">
        <f t="shared" si="35"/>
        <v/>
      </c>
      <c r="K310" s="36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8"/>
    </row>
    <row r="311" spans="1:35" x14ac:dyDescent="0.3">
      <c r="A311" s="32" t="str">
        <f t="shared" si="30"/>
        <v/>
      </c>
      <c r="B311" s="33" t="str">
        <f t="shared" si="31"/>
        <v/>
      </c>
      <c r="C311" s="33" t="str">
        <f t="shared" si="32"/>
        <v/>
      </c>
      <c r="D311" s="34"/>
      <c r="E311" s="33" t="str">
        <f t="shared" si="33"/>
        <v/>
      </c>
      <c r="F311" s="33" t="str">
        <f t="shared" si="34"/>
        <v/>
      </c>
      <c r="G311" s="35"/>
      <c r="H311" s="35"/>
      <c r="I311" s="33"/>
      <c r="J311" s="33" t="str">
        <f t="shared" si="35"/>
        <v/>
      </c>
      <c r="K311" s="36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8"/>
    </row>
    <row r="312" spans="1:35" x14ac:dyDescent="0.3">
      <c r="A312" s="32" t="str">
        <f t="shared" si="30"/>
        <v/>
      </c>
      <c r="B312" s="33" t="str">
        <f t="shared" si="31"/>
        <v/>
      </c>
      <c r="C312" s="33" t="str">
        <f t="shared" si="32"/>
        <v/>
      </c>
      <c r="D312" s="34"/>
      <c r="E312" s="33" t="str">
        <f t="shared" si="33"/>
        <v/>
      </c>
      <c r="F312" s="33" t="str">
        <f t="shared" si="34"/>
        <v/>
      </c>
      <c r="G312" s="35"/>
      <c r="H312" s="35"/>
      <c r="I312" s="33"/>
      <c r="J312" s="33" t="str">
        <f t="shared" si="35"/>
        <v/>
      </c>
      <c r="K312" s="36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8"/>
    </row>
    <row r="313" spans="1:35" x14ac:dyDescent="0.3">
      <c r="A313" s="32" t="str">
        <f t="shared" si="30"/>
        <v/>
      </c>
      <c r="B313" s="33" t="str">
        <f t="shared" si="31"/>
        <v/>
      </c>
      <c r="C313" s="33" t="str">
        <f t="shared" si="32"/>
        <v/>
      </c>
      <c r="D313" s="34"/>
      <c r="E313" s="33" t="str">
        <f t="shared" si="33"/>
        <v/>
      </c>
      <c r="F313" s="33" t="str">
        <f t="shared" si="34"/>
        <v/>
      </c>
      <c r="G313" s="35"/>
      <c r="H313" s="35"/>
      <c r="I313" s="33"/>
      <c r="J313" s="33" t="str">
        <f t="shared" si="35"/>
        <v/>
      </c>
      <c r="K313" s="36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8"/>
    </row>
    <row r="314" spans="1:35" x14ac:dyDescent="0.3">
      <c r="A314" s="32" t="str">
        <f t="shared" si="30"/>
        <v/>
      </c>
      <c r="B314" s="33" t="str">
        <f t="shared" si="31"/>
        <v/>
      </c>
      <c r="C314" s="33" t="str">
        <f t="shared" si="32"/>
        <v/>
      </c>
      <c r="D314" s="34"/>
      <c r="E314" s="33" t="str">
        <f t="shared" si="33"/>
        <v/>
      </c>
      <c r="F314" s="33" t="str">
        <f t="shared" si="34"/>
        <v/>
      </c>
      <c r="G314" s="35"/>
      <c r="H314" s="35"/>
      <c r="I314" s="33"/>
      <c r="J314" s="33" t="str">
        <f t="shared" si="35"/>
        <v/>
      </c>
      <c r="K314" s="36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8"/>
    </row>
    <row r="315" spans="1:35" x14ac:dyDescent="0.3">
      <c r="A315" s="32" t="str">
        <f t="shared" si="30"/>
        <v/>
      </c>
      <c r="B315" s="33" t="str">
        <f t="shared" si="31"/>
        <v/>
      </c>
      <c r="C315" s="33" t="str">
        <f t="shared" si="32"/>
        <v/>
      </c>
      <c r="D315" s="34"/>
      <c r="E315" s="33" t="str">
        <f t="shared" si="33"/>
        <v/>
      </c>
      <c r="F315" s="33" t="str">
        <f t="shared" si="34"/>
        <v/>
      </c>
      <c r="G315" s="35"/>
      <c r="H315" s="35"/>
      <c r="I315" s="33"/>
      <c r="J315" s="33" t="str">
        <f t="shared" si="35"/>
        <v/>
      </c>
      <c r="K315" s="36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8"/>
    </row>
    <row r="316" spans="1:35" x14ac:dyDescent="0.3">
      <c r="A316" s="32" t="str">
        <f t="shared" si="30"/>
        <v/>
      </c>
      <c r="B316" s="33" t="str">
        <f t="shared" si="31"/>
        <v/>
      </c>
      <c r="C316" s="33" t="str">
        <f t="shared" si="32"/>
        <v/>
      </c>
      <c r="D316" s="34"/>
      <c r="E316" s="33" t="str">
        <f t="shared" si="33"/>
        <v/>
      </c>
      <c r="F316" s="33" t="str">
        <f t="shared" si="34"/>
        <v/>
      </c>
      <c r="G316" s="35"/>
      <c r="H316" s="35"/>
      <c r="I316" s="33"/>
      <c r="J316" s="33" t="str">
        <f t="shared" si="35"/>
        <v/>
      </c>
      <c r="K316" s="36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8"/>
    </row>
    <row r="317" spans="1:35" x14ac:dyDescent="0.3">
      <c r="A317" s="32" t="str">
        <f t="shared" si="30"/>
        <v/>
      </c>
      <c r="B317" s="33" t="str">
        <f t="shared" si="31"/>
        <v/>
      </c>
      <c r="C317" s="33" t="str">
        <f t="shared" si="32"/>
        <v/>
      </c>
      <c r="D317" s="34"/>
      <c r="E317" s="33" t="str">
        <f t="shared" si="33"/>
        <v/>
      </c>
      <c r="F317" s="33" t="str">
        <f t="shared" si="34"/>
        <v/>
      </c>
      <c r="G317" s="35"/>
      <c r="H317" s="35"/>
      <c r="I317" s="33"/>
      <c r="J317" s="33" t="str">
        <f t="shared" si="35"/>
        <v/>
      </c>
      <c r="K317" s="36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8"/>
    </row>
    <row r="318" spans="1:35" x14ac:dyDescent="0.3">
      <c r="A318" s="32" t="str">
        <f t="shared" si="30"/>
        <v/>
      </c>
      <c r="B318" s="33" t="str">
        <f t="shared" si="31"/>
        <v/>
      </c>
      <c r="C318" s="33" t="str">
        <f t="shared" si="32"/>
        <v/>
      </c>
      <c r="D318" s="34"/>
      <c r="E318" s="33" t="str">
        <f t="shared" si="33"/>
        <v/>
      </c>
      <c r="F318" s="33" t="str">
        <f t="shared" si="34"/>
        <v/>
      </c>
      <c r="G318" s="35"/>
      <c r="H318" s="35"/>
      <c r="I318" s="33"/>
      <c r="J318" s="33" t="str">
        <f t="shared" si="35"/>
        <v/>
      </c>
      <c r="K318" s="36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8"/>
    </row>
    <row r="319" spans="1:35" x14ac:dyDescent="0.3">
      <c r="A319" s="32" t="str">
        <f t="shared" si="30"/>
        <v/>
      </c>
      <c r="B319" s="33" t="str">
        <f t="shared" si="31"/>
        <v/>
      </c>
      <c r="C319" s="33" t="str">
        <f t="shared" si="32"/>
        <v/>
      </c>
      <c r="D319" s="34"/>
      <c r="E319" s="33" t="str">
        <f t="shared" si="33"/>
        <v/>
      </c>
      <c r="F319" s="33" t="str">
        <f t="shared" si="34"/>
        <v/>
      </c>
      <c r="G319" s="35"/>
      <c r="H319" s="35"/>
      <c r="I319" s="33"/>
      <c r="J319" s="33" t="str">
        <f t="shared" si="35"/>
        <v/>
      </c>
      <c r="K319" s="36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8"/>
    </row>
    <row r="320" spans="1:35" x14ac:dyDescent="0.3">
      <c r="A320" s="32" t="str">
        <f t="shared" si="30"/>
        <v/>
      </c>
      <c r="B320" s="33" t="str">
        <f t="shared" si="31"/>
        <v/>
      </c>
      <c r="C320" s="33" t="str">
        <f t="shared" si="32"/>
        <v/>
      </c>
      <c r="D320" s="34"/>
      <c r="E320" s="33" t="str">
        <f t="shared" si="33"/>
        <v/>
      </c>
      <c r="F320" s="33" t="str">
        <f t="shared" si="34"/>
        <v/>
      </c>
      <c r="G320" s="35"/>
      <c r="H320" s="35"/>
      <c r="I320" s="33"/>
      <c r="J320" s="33" t="str">
        <f t="shared" si="35"/>
        <v/>
      </c>
      <c r="K320" s="36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8"/>
    </row>
    <row r="321" spans="1:35" x14ac:dyDescent="0.3">
      <c r="A321" s="32" t="str">
        <f t="shared" si="30"/>
        <v/>
      </c>
      <c r="B321" s="33" t="str">
        <f t="shared" si="31"/>
        <v/>
      </c>
      <c r="C321" s="33" t="str">
        <f t="shared" si="32"/>
        <v/>
      </c>
      <c r="D321" s="34"/>
      <c r="E321" s="33" t="str">
        <f t="shared" si="33"/>
        <v/>
      </c>
      <c r="F321" s="33" t="str">
        <f t="shared" si="34"/>
        <v/>
      </c>
      <c r="G321" s="35"/>
      <c r="H321" s="35"/>
      <c r="I321" s="33"/>
      <c r="J321" s="33" t="str">
        <f t="shared" si="35"/>
        <v/>
      </c>
      <c r="K321" s="36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8"/>
    </row>
    <row r="322" spans="1:35" x14ac:dyDescent="0.3">
      <c r="A322" s="32" t="str">
        <f t="shared" si="30"/>
        <v/>
      </c>
      <c r="B322" s="33" t="str">
        <f t="shared" si="31"/>
        <v/>
      </c>
      <c r="C322" s="33" t="str">
        <f t="shared" si="32"/>
        <v/>
      </c>
      <c r="D322" s="34"/>
      <c r="E322" s="33" t="str">
        <f t="shared" si="33"/>
        <v/>
      </c>
      <c r="F322" s="33" t="str">
        <f t="shared" si="34"/>
        <v/>
      </c>
      <c r="G322" s="35"/>
      <c r="H322" s="35"/>
      <c r="I322" s="33"/>
      <c r="J322" s="33" t="str">
        <f t="shared" si="35"/>
        <v/>
      </c>
      <c r="K322" s="36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8"/>
    </row>
    <row r="323" spans="1:35" x14ac:dyDescent="0.3">
      <c r="A323" s="32" t="str">
        <f t="shared" si="30"/>
        <v/>
      </c>
      <c r="B323" s="33" t="str">
        <f t="shared" si="31"/>
        <v/>
      </c>
      <c r="C323" s="33" t="str">
        <f t="shared" si="32"/>
        <v/>
      </c>
      <c r="D323" s="34"/>
      <c r="E323" s="33" t="str">
        <f t="shared" si="33"/>
        <v/>
      </c>
      <c r="F323" s="33" t="str">
        <f t="shared" si="34"/>
        <v/>
      </c>
      <c r="G323" s="35"/>
      <c r="H323" s="35"/>
      <c r="I323" s="33"/>
      <c r="J323" s="33" t="str">
        <f t="shared" si="35"/>
        <v/>
      </c>
      <c r="K323" s="36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8"/>
    </row>
    <row r="324" spans="1:35" x14ac:dyDescent="0.3">
      <c r="A324" s="32" t="str">
        <f t="shared" si="30"/>
        <v/>
      </c>
      <c r="B324" s="33" t="str">
        <f t="shared" si="31"/>
        <v/>
      </c>
      <c r="C324" s="33" t="str">
        <f t="shared" si="32"/>
        <v/>
      </c>
      <c r="D324" s="34"/>
      <c r="E324" s="33" t="str">
        <f t="shared" si="33"/>
        <v/>
      </c>
      <c r="F324" s="33" t="str">
        <f t="shared" si="34"/>
        <v/>
      </c>
      <c r="G324" s="35"/>
      <c r="H324" s="35"/>
      <c r="I324" s="33"/>
      <c r="J324" s="33" t="str">
        <f t="shared" si="35"/>
        <v/>
      </c>
      <c r="K324" s="36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8"/>
    </row>
    <row r="325" spans="1:35" x14ac:dyDescent="0.3">
      <c r="A325" s="32" t="str">
        <f t="shared" si="30"/>
        <v/>
      </c>
      <c r="B325" s="33" t="str">
        <f t="shared" si="31"/>
        <v/>
      </c>
      <c r="C325" s="33" t="str">
        <f t="shared" si="32"/>
        <v/>
      </c>
      <c r="D325" s="34"/>
      <c r="E325" s="33" t="str">
        <f t="shared" si="33"/>
        <v/>
      </c>
      <c r="F325" s="33" t="str">
        <f t="shared" si="34"/>
        <v/>
      </c>
      <c r="G325" s="35"/>
      <c r="H325" s="35"/>
      <c r="I325" s="33"/>
      <c r="J325" s="33" t="str">
        <f t="shared" si="35"/>
        <v/>
      </c>
      <c r="K325" s="36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8"/>
    </row>
    <row r="326" spans="1:35" x14ac:dyDescent="0.3">
      <c r="A326" s="32" t="str">
        <f t="shared" si="30"/>
        <v/>
      </c>
      <c r="B326" s="33" t="str">
        <f t="shared" si="31"/>
        <v/>
      </c>
      <c r="C326" s="33" t="str">
        <f t="shared" si="32"/>
        <v/>
      </c>
      <c r="D326" s="34"/>
      <c r="E326" s="33" t="str">
        <f t="shared" si="33"/>
        <v/>
      </c>
      <c r="F326" s="33" t="str">
        <f t="shared" si="34"/>
        <v/>
      </c>
      <c r="G326" s="35"/>
      <c r="H326" s="35"/>
      <c r="I326" s="33"/>
      <c r="J326" s="33" t="str">
        <f t="shared" si="35"/>
        <v/>
      </c>
      <c r="K326" s="36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8"/>
    </row>
    <row r="327" spans="1:35" x14ac:dyDescent="0.3">
      <c r="A327" s="32" t="str">
        <f t="shared" si="30"/>
        <v/>
      </c>
      <c r="B327" s="33" t="str">
        <f t="shared" si="31"/>
        <v/>
      </c>
      <c r="C327" s="33" t="str">
        <f t="shared" si="32"/>
        <v/>
      </c>
      <c r="D327" s="34"/>
      <c r="E327" s="33" t="str">
        <f t="shared" si="33"/>
        <v/>
      </c>
      <c r="F327" s="33" t="str">
        <f t="shared" si="34"/>
        <v/>
      </c>
      <c r="G327" s="35"/>
      <c r="H327" s="35"/>
      <c r="I327" s="33"/>
      <c r="J327" s="33" t="str">
        <f t="shared" si="35"/>
        <v/>
      </c>
      <c r="K327" s="36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8"/>
    </row>
    <row r="328" spans="1:35" x14ac:dyDescent="0.3">
      <c r="A328" s="32" t="str">
        <f t="shared" si="30"/>
        <v/>
      </c>
      <c r="B328" s="33" t="str">
        <f t="shared" si="31"/>
        <v/>
      </c>
      <c r="C328" s="33" t="str">
        <f t="shared" si="32"/>
        <v/>
      </c>
      <c r="D328" s="34"/>
      <c r="E328" s="33" t="str">
        <f t="shared" si="33"/>
        <v/>
      </c>
      <c r="F328" s="33" t="str">
        <f t="shared" si="34"/>
        <v/>
      </c>
      <c r="G328" s="35"/>
      <c r="H328" s="35"/>
      <c r="I328" s="33"/>
      <c r="J328" s="33" t="str">
        <f t="shared" si="35"/>
        <v/>
      </c>
      <c r="K328" s="36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8"/>
    </row>
    <row r="329" spans="1:35" x14ac:dyDescent="0.3">
      <c r="A329" s="32" t="str">
        <f t="shared" si="30"/>
        <v/>
      </c>
      <c r="B329" s="33" t="str">
        <f t="shared" si="31"/>
        <v/>
      </c>
      <c r="C329" s="33" t="str">
        <f t="shared" si="32"/>
        <v/>
      </c>
      <c r="D329" s="34"/>
      <c r="E329" s="33" t="str">
        <f t="shared" si="33"/>
        <v/>
      </c>
      <c r="F329" s="33" t="str">
        <f t="shared" si="34"/>
        <v/>
      </c>
      <c r="G329" s="35"/>
      <c r="H329" s="35"/>
      <c r="I329" s="33"/>
      <c r="J329" s="33" t="str">
        <f t="shared" si="35"/>
        <v/>
      </c>
      <c r="K329" s="36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8"/>
    </row>
    <row r="330" spans="1:35" x14ac:dyDescent="0.3">
      <c r="A330" s="32" t="str">
        <f t="shared" si="30"/>
        <v/>
      </c>
      <c r="B330" s="33" t="str">
        <f t="shared" si="31"/>
        <v/>
      </c>
      <c r="C330" s="33" t="str">
        <f t="shared" si="32"/>
        <v/>
      </c>
      <c r="D330" s="34"/>
      <c r="E330" s="33" t="str">
        <f t="shared" si="33"/>
        <v/>
      </c>
      <c r="F330" s="33" t="str">
        <f t="shared" si="34"/>
        <v/>
      </c>
      <c r="G330" s="35"/>
      <c r="H330" s="35"/>
      <c r="I330" s="33"/>
      <c r="J330" s="33" t="str">
        <f t="shared" si="35"/>
        <v/>
      </c>
      <c r="K330" s="36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8"/>
    </row>
    <row r="331" spans="1:35" x14ac:dyDescent="0.3">
      <c r="A331" s="32" t="str">
        <f t="shared" si="30"/>
        <v/>
      </c>
      <c r="B331" s="33" t="str">
        <f t="shared" si="31"/>
        <v/>
      </c>
      <c r="C331" s="33" t="str">
        <f t="shared" si="32"/>
        <v/>
      </c>
      <c r="D331" s="34"/>
      <c r="E331" s="33" t="str">
        <f t="shared" si="33"/>
        <v/>
      </c>
      <c r="F331" s="33" t="str">
        <f t="shared" si="34"/>
        <v/>
      </c>
      <c r="G331" s="35"/>
      <c r="H331" s="35"/>
      <c r="I331" s="33"/>
      <c r="J331" s="33" t="str">
        <f t="shared" si="35"/>
        <v/>
      </c>
      <c r="K331" s="36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8"/>
    </row>
    <row r="332" spans="1:35" x14ac:dyDescent="0.3">
      <c r="A332" s="32" t="str">
        <f t="shared" si="30"/>
        <v/>
      </c>
      <c r="B332" s="33" t="str">
        <f t="shared" si="31"/>
        <v/>
      </c>
      <c r="C332" s="33" t="str">
        <f t="shared" si="32"/>
        <v/>
      </c>
      <c r="D332" s="34"/>
      <c r="E332" s="33" t="str">
        <f t="shared" si="33"/>
        <v/>
      </c>
      <c r="F332" s="33" t="str">
        <f t="shared" si="34"/>
        <v/>
      </c>
      <c r="G332" s="35"/>
      <c r="H332" s="35"/>
      <c r="I332" s="33"/>
      <c r="J332" s="33" t="str">
        <f t="shared" si="35"/>
        <v/>
      </c>
      <c r="K332" s="36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8"/>
    </row>
    <row r="333" spans="1:35" x14ac:dyDescent="0.3">
      <c r="A333" s="32" t="str">
        <f t="shared" si="30"/>
        <v/>
      </c>
      <c r="B333" s="33" t="str">
        <f t="shared" si="31"/>
        <v/>
      </c>
      <c r="C333" s="33" t="str">
        <f t="shared" si="32"/>
        <v/>
      </c>
      <c r="D333" s="34"/>
      <c r="E333" s="33" t="str">
        <f t="shared" si="33"/>
        <v/>
      </c>
      <c r="F333" s="33" t="str">
        <f t="shared" si="34"/>
        <v/>
      </c>
      <c r="G333" s="35"/>
      <c r="H333" s="35"/>
      <c r="I333" s="33"/>
      <c r="J333" s="33" t="str">
        <f t="shared" si="35"/>
        <v/>
      </c>
      <c r="K333" s="36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8"/>
    </row>
    <row r="334" spans="1:35" x14ac:dyDescent="0.3">
      <c r="A334" s="32" t="str">
        <f t="shared" si="30"/>
        <v/>
      </c>
      <c r="B334" s="33" t="str">
        <f t="shared" si="31"/>
        <v/>
      </c>
      <c r="C334" s="33" t="str">
        <f t="shared" si="32"/>
        <v/>
      </c>
      <c r="D334" s="34"/>
      <c r="E334" s="33" t="str">
        <f t="shared" si="33"/>
        <v/>
      </c>
      <c r="F334" s="33" t="str">
        <f t="shared" si="34"/>
        <v/>
      </c>
      <c r="G334" s="35"/>
      <c r="H334" s="35"/>
      <c r="I334" s="33"/>
      <c r="J334" s="33" t="str">
        <f t="shared" si="35"/>
        <v/>
      </c>
      <c r="K334" s="36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8"/>
    </row>
    <row r="335" spans="1:35" x14ac:dyDescent="0.3">
      <c r="A335" s="32" t="str">
        <f t="shared" si="30"/>
        <v/>
      </c>
      <c r="B335" s="33" t="str">
        <f t="shared" si="31"/>
        <v/>
      </c>
      <c r="C335" s="33" t="str">
        <f t="shared" si="32"/>
        <v/>
      </c>
      <c r="D335" s="34"/>
      <c r="E335" s="33" t="str">
        <f t="shared" si="33"/>
        <v/>
      </c>
      <c r="F335" s="33" t="str">
        <f t="shared" si="34"/>
        <v/>
      </c>
      <c r="G335" s="35"/>
      <c r="H335" s="35"/>
      <c r="I335" s="33"/>
      <c r="J335" s="33" t="str">
        <f t="shared" si="35"/>
        <v/>
      </c>
      <c r="K335" s="36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8"/>
    </row>
    <row r="336" spans="1:35" x14ac:dyDescent="0.3">
      <c r="A336" s="32" t="str">
        <f t="shared" si="30"/>
        <v/>
      </c>
      <c r="B336" s="33" t="str">
        <f t="shared" si="31"/>
        <v/>
      </c>
      <c r="C336" s="33" t="str">
        <f t="shared" si="32"/>
        <v/>
      </c>
      <c r="D336" s="34"/>
      <c r="E336" s="33" t="str">
        <f t="shared" si="33"/>
        <v/>
      </c>
      <c r="F336" s="33" t="str">
        <f t="shared" si="34"/>
        <v/>
      </c>
      <c r="G336" s="35"/>
      <c r="H336" s="35"/>
      <c r="I336" s="33"/>
      <c r="J336" s="33" t="str">
        <f t="shared" si="35"/>
        <v/>
      </c>
      <c r="K336" s="36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8"/>
    </row>
    <row r="337" spans="1:35" x14ac:dyDescent="0.3">
      <c r="A337" s="32" t="str">
        <f t="shared" ref="A337:A400" si="36">IF($K337="", "", ROW()-15)</f>
        <v/>
      </c>
      <c r="B337" s="33" t="str">
        <f t="shared" ref="B337:B400" si="37">IFERROR(IF(ISNUMBER(SEARCH("Q", $K337)), "Q", MID(RIGHT($J337, 4), 1, 1)), "")</f>
        <v/>
      </c>
      <c r="C337" s="33" t="str">
        <f t="shared" ref="C337:C400" si="38">IFERROR(IF(ISNUMBER(SEARCH("Q", $K337)), LEFT($K337, LEN($K337)-15), LEFT($K337, LEN($K337)-8)), "")</f>
        <v/>
      </c>
      <c r="D337" s="34"/>
      <c r="E337" s="33" t="str">
        <f t="shared" ref="E337:E400" si="39">IFERROR(IF($F337="", "", IF($F337="01", "최초", "추가")), " ")</f>
        <v/>
      </c>
      <c r="F337" s="33" t="str">
        <f t="shared" ref="F337:F400" si="40">IFERROR(IF(ISNUMBER(SEARCH("Q", $K337)), MID(RIGHT($K337, 9), 1, 2), RIGHT($K337, 2)), "")</f>
        <v/>
      </c>
      <c r="G337" s="35"/>
      <c r="H337" s="35"/>
      <c r="I337" s="33"/>
      <c r="J337" s="33" t="str">
        <f t="shared" ref="J337:J400" si="41">IFERROR(IF(ISNUMBER(SEARCH("Q", $K337)), LEFT($K337, LEN($K337)-10), LEFT($K337, LEN($K337)-3)), "")</f>
        <v/>
      </c>
      <c r="K337" s="36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8"/>
    </row>
    <row r="338" spans="1:35" x14ac:dyDescent="0.3">
      <c r="A338" s="32" t="str">
        <f t="shared" si="36"/>
        <v/>
      </c>
      <c r="B338" s="33" t="str">
        <f t="shared" si="37"/>
        <v/>
      </c>
      <c r="C338" s="33" t="str">
        <f t="shared" si="38"/>
        <v/>
      </c>
      <c r="D338" s="34"/>
      <c r="E338" s="33" t="str">
        <f t="shared" si="39"/>
        <v/>
      </c>
      <c r="F338" s="33" t="str">
        <f t="shared" si="40"/>
        <v/>
      </c>
      <c r="G338" s="35"/>
      <c r="H338" s="35"/>
      <c r="I338" s="33"/>
      <c r="J338" s="33" t="str">
        <f t="shared" si="41"/>
        <v/>
      </c>
      <c r="K338" s="36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8"/>
    </row>
    <row r="339" spans="1:35" x14ac:dyDescent="0.3">
      <c r="A339" s="32" t="str">
        <f t="shared" si="36"/>
        <v/>
      </c>
      <c r="B339" s="33" t="str">
        <f t="shared" si="37"/>
        <v/>
      </c>
      <c r="C339" s="33" t="str">
        <f t="shared" si="38"/>
        <v/>
      </c>
      <c r="D339" s="34"/>
      <c r="E339" s="33" t="str">
        <f t="shared" si="39"/>
        <v/>
      </c>
      <c r="F339" s="33" t="str">
        <f t="shared" si="40"/>
        <v/>
      </c>
      <c r="G339" s="35"/>
      <c r="H339" s="35"/>
      <c r="I339" s="33"/>
      <c r="J339" s="33" t="str">
        <f t="shared" si="41"/>
        <v/>
      </c>
      <c r="K339" s="36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8"/>
    </row>
    <row r="340" spans="1:35" x14ac:dyDescent="0.3">
      <c r="A340" s="32" t="str">
        <f t="shared" si="36"/>
        <v/>
      </c>
      <c r="B340" s="33" t="str">
        <f t="shared" si="37"/>
        <v/>
      </c>
      <c r="C340" s="33" t="str">
        <f t="shared" si="38"/>
        <v/>
      </c>
      <c r="D340" s="34"/>
      <c r="E340" s="33" t="str">
        <f t="shared" si="39"/>
        <v/>
      </c>
      <c r="F340" s="33" t="str">
        <f t="shared" si="40"/>
        <v/>
      </c>
      <c r="G340" s="35"/>
      <c r="H340" s="35"/>
      <c r="I340" s="33"/>
      <c r="J340" s="33" t="str">
        <f t="shared" si="41"/>
        <v/>
      </c>
      <c r="K340" s="36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8"/>
    </row>
    <row r="341" spans="1:35" x14ac:dyDescent="0.3">
      <c r="A341" s="32" t="str">
        <f t="shared" si="36"/>
        <v/>
      </c>
      <c r="B341" s="33" t="str">
        <f t="shared" si="37"/>
        <v/>
      </c>
      <c r="C341" s="33" t="str">
        <f t="shared" si="38"/>
        <v/>
      </c>
      <c r="D341" s="34"/>
      <c r="E341" s="33" t="str">
        <f t="shared" si="39"/>
        <v/>
      </c>
      <c r="F341" s="33" t="str">
        <f t="shared" si="40"/>
        <v/>
      </c>
      <c r="G341" s="35"/>
      <c r="H341" s="35"/>
      <c r="I341" s="33"/>
      <c r="J341" s="33" t="str">
        <f t="shared" si="41"/>
        <v/>
      </c>
      <c r="K341" s="36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8"/>
    </row>
    <row r="342" spans="1:35" x14ac:dyDescent="0.3">
      <c r="A342" s="32" t="str">
        <f t="shared" si="36"/>
        <v/>
      </c>
      <c r="B342" s="33" t="str">
        <f t="shared" si="37"/>
        <v/>
      </c>
      <c r="C342" s="33" t="str">
        <f t="shared" si="38"/>
        <v/>
      </c>
      <c r="D342" s="34"/>
      <c r="E342" s="33" t="str">
        <f t="shared" si="39"/>
        <v/>
      </c>
      <c r="F342" s="33" t="str">
        <f t="shared" si="40"/>
        <v/>
      </c>
      <c r="G342" s="35"/>
      <c r="H342" s="35"/>
      <c r="I342" s="33"/>
      <c r="J342" s="33" t="str">
        <f t="shared" si="41"/>
        <v/>
      </c>
      <c r="K342" s="36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8"/>
    </row>
    <row r="343" spans="1:35" x14ac:dyDescent="0.3">
      <c r="A343" s="32" t="str">
        <f t="shared" si="36"/>
        <v/>
      </c>
      <c r="B343" s="33" t="str">
        <f t="shared" si="37"/>
        <v/>
      </c>
      <c r="C343" s="33" t="str">
        <f t="shared" si="38"/>
        <v/>
      </c>
      <c r="D343" s="34"/>
      <c r="E343" s="33" t="str">
        <f t="shared" si="39"/>
        <v/>
      </c>
      <c r="F343" s="33" t="str">
        <f t="shared" si="40"/>
        <v/>
      </c>
      <c r="G343" s="35"/>
      <c r="H343" s="35"/>
      <c r="I343" s="33"/>
      <c r="J343" s="33" t="str">
        <f t="shared" si="41"/>
        <v/>
      </c>
      <c r="K343" s="36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8"/>
    </row>
    <row r="344" spans="1:35" x14ac:dyDescent="0.3">
      <c r="A344" s="32" t="str">
        <f t="shared" si="36"/>
        <v/>
      </c>
      <c r="B344" s="33" t="str">
        <f t="shared" si="37"/>
        <v/>
      </c>
      <c r="C344" s="33" t="str">
        <f t="shared" si="38"/>
        <v/>
      </c>
      <c r="D344" s="34"/>
      <c r="E344" s="33" t="str">
        <f t="shared" si="39"/>
        <v/>
      </c>
      <c r="F344" s="33" t="str">
        <f t="shared" si="40"/>
        <v/>
      </c>
      <c r="G344" s="35"/>
      <c r="H344" s="35"/>
      <c r="I344" s="33"/>
      <c r="J344" s="33" t="str">
        <f t="shared" si="41"/>
        <v/>
      </c>
      <c r="K344" s="36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8"/>
    </row>
    <row r="345" spans="1:35" x14ac:dyDescent="0.3">
      <c r="A345" s="32" t="str">
        <f t="shared" si="36"/>
        <v/>
      </c>
      <c r="B345" s="33" t="str">
        <f t="shared" si="37"/>
        <v/>
      </c>
      <c r="C345" s="33" t="str">
        <f t="shared" si="38"/>
        <v/>
      </c>
      <c r="D345" s="34"/>
      <c r="E345" s="33" t="str">
        <f t="shared" si="39"/>
        <v/>
      </c>
      <c r="F345" s="33" t="str">
        <f t="shared" si="40"/>
        <v/>
      </c>
      <c r="G345" s="35"/>
      <c r="H345" s="35"/>
      <c r="I345" s="33"/>
      <c r="J345" s="33" t="str">
        <f t="shared" si="41"/>
        <v/>
      </c>
      <c r="K345" s="36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8"/>
    </row>
    <row r="346" spans="1:35" x14ac:dyDescent="0.3">
      <c r="A346" s="32" t="str">
        <f t="shared" si="36"/>
        <v/>
      </c>
      <c r="B346" s="33" t="str">
        <f t="shared" si="37"/>
        <v/>
      </c>
      <c r="C346" s="33" t="str">
        <f t="shared" si="38"/>
        <v/>
      </c>
      <c r="D346" s="34"/>
      <c r="E346" s="33" t="str">
        <f t="shared" si="39"/>
        <v/>
      </c>
      <c r="F346" s="33" t="str">
        <f t="shared" si="40"/>
        <v/>
      </c>
      <c r="G346" s="35"/>
      <c r="H346" s="35"/>
      <c r="I346" s="33"/>
      <c r="J346" s="33" t="str">
        <f t="shared" si="41"/>
        <v/>
      </c>
      <c r="K346" s="36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8"/>
    </row>
    <row r="347" spans="1:35" x14ac:dyDescent="0.3">
      <c r="A347" s="32" t="str">
        <f t="shared" si="36"/>
        <v/>
      </c>
      <c r="B347" s="33" t="str">
        <f t="shared" si="37"/>
        <v/>
      </c>
      <c r="C347" s="33" t="str">
        <f t="shared" si="38"/>
        <v/>
      </c>
      <c r="D347" s="34"/>
      <c r="E347" s="33" t="str">
        <f t="shared" si="39"/>
        <v/>
      </c>
      <c r="F347" s="33" t="str">
        <f t="shared" si="40"/>
        <v/>
      </c>
      <c r="G347" s="35"/>
      <c r="H347" s="35"/>
      <c r="I347" s="33"/>
      <c r="J347" s="33" t="str">
        <f t="shared" si="41"/>
        <v/>
      </c>
      <c r="K347" s="36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8"/>
    </row>
    <row r="348" spans="1:35" x14ac:dyDescent="0.3">
      <c r="A348" s="32" t="str">
        <f t="shared" si="36"/>
        <v/>
      </c>
      <c r="B348" s="33" t="str">
        <f t="shared" si="37"/>
        <v/>
      </c>
      <c r="C348" s="33" t="str">
        <f t="shared" si="38"/>
        <v/>
      </c>
      <c r="D348" s="34"/>
      <c r="E348" s="33" t="str">
        <f t="shared" si="39"/>
        <v/>
      </c>
      <c r="F348" s="33" t="str">
        <f t="shared" si="40"/>
        <v/>
      </c>
      <c r="G348" s="35"/>
      <c r="H348" s="35"/>
      <c r="I348" s="33"/>
      <c r="J348" s="33" t="str">
        <f t="shared" si="41"/>
        <v/>
      </c>
      <c r="K348" s="36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8"/>
    </row>
    <row r="349" spans="1:35" x14ac:dyDescent="0.3">
      <c r="A349" s="32" t="str">
        <f t="shared" si="36"/>
        <v/>
      </c>
      <c r="B349" s="33" t="str">
        <f t="shared" si="37"/>
        <v/>
      </c>
      <c r="C349" s="33" t="str">
        <f t="shared" si="38"/>
        <v/>
      </c>
      <c r="D349" s="34"/>
      <c r="E349" s="33" t="str">
        <f t="shared" si="39"/>
        <v/>
      </c>
      <c r="F349" s="33" t="str">
        <f t="shared" si="40"/>
        <v/>
      </c>
      <c r="G349" s="35"/>
      <c r="H349" s="35"/>
      <c r="I349" s="33"/>
      <c r="J349" s="33" t="str">
        <f t="shared" si="41"/>
        <v/>
      </c>
      <c r="K349" s="36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8"/>
    </row>
    <row r="350" spans="1:35" x14ac:dyDescent="0.3">
      <c r="A350" s="32" t="str">
        <f t="shared" si="36"/>
        <v/>
      </c>
      <c r="B350" s="33" t="str">
        <f t="shared" si="37"/>
        <v/>
      </c>
      <c r="C350" s="33" t="str">
        <f t="shared" si="38"/>
        <v/>
      </c>
      <c r="D350" s="34"/>
      <c r="E350" s="33" t="str">
        <f t="shared" si="39"/>
        <v/>
      </c>
      <c r="F350" s="33" t="str">
        <f t="shared" si="40"/>
        <v/>
      </c>
      <c r="G350" s="35"/>
      <c r="H350" s="35"/>
      <c r="I350" s="33"/>
      <c r="J350" s="33" t="str">
        <f t="shared" si="41"/>
        <v/>
      </c>
      <c r="K350" s="36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8"/>
    </row>
    <row r="351" spans="1:35" x14ac:dyDescent="0.3">
      <c r="A351" s="32" t="str">
        <f t="shared" si="36"/>
        <v/>
      </c>
      <c r="B351" s="33" t="str">
        <f t="shared" si="37"/>
        <v/>
      </c>
      <c r="C351" s="33" t="str">
        <f t="shared" si="38"/>
        <v/>
      </c>
      <c r="D351" s="34"/>
      <c r="E351" s="33" t="str">
        <f t="shared" si="39"/>
        <v/>
      </c>
      <c r="F351" s="33" t="str">
        <f t="shared" si="40"/>
        <v/>
      </c>
      <c r="G351" s="35"/>
      <c r="H351" s="35"/>
      <c r="I351" s="33"/>
      <c r="J351" s="33" t="str">
        <f t="shared" si="41"/>
        <v/>
      </c>
      <c r="K351" s="36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8"/>
    </row>
    <row r="352" spans="1:35" x14ac:dyDescent="0.3">
      <c r="A352" s="32" t="str">
        <f t="shared" si="36"/>
        <v/>
      </c>
      <c r="B352" s="33" t="str">
        <f t="shared" si="37"/>
        <v/>
      </c>
      <c r="C352" s="33" t="str">
        <f t="shared" si="38"/>
        <v/>
      </c>
      <c r="D352" s="34"/>
      <c r="E352" s="33" t="str">
        <f t="shared" si="39"/>
        <v/>
      </c>
      <c r="F352" s="33" t="str">
        <f t="shared" si="40"/>
        <v/>
      </c>
      <c r="G352" s="35"/>
      <c r="H352" s="35"/>
      <c r="I352" s="33"/>
      <c r="J352" s="33" t="str">
        <f t="shared" si="41"/>
        <v/>
      </c>
      <c r="K352" s="36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8"/>
    </row>
    <row r="353" spans="1:35" x14ac:dyDescent="0.3">
      <c r="A353" s="32" t="str">
        <f t="shared" si="36"/>
        <v/>
      </c>
      <c r="B353" s="33" t="str">
        <f t="shared" si="37"/>
        <v/>
      </c>
      <c r="C353" s="33" t="str">
        <f t="shared" si="38"/>
        <v/>
      </c>
      <c r="D353" s="34"/>
      <c r="E353" s="33" t="str">
        <f t="shared" si="39"/>
        <v/>
      </c>
      <c r="F353" s="33" t="str">
        <f t="shared" si="40"/>
        <v/>
      </c>
      <c r="G353" s="35"/>
      <c r="H353" s="35"/>
      <c r="I353" s="33"/>
      <c r="J353" s="33" t="str">
        <f t="shared" si="41"/>
        <v/>
      </c>
      <c r="K353" s="36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8"/>
    </row>
    <row r="354" spans="1:35" x14ac:dyDescent="0.3">
      <c r="A354" s="32" t="str">
        <f t="shared" si="36"/>
        <v/>
      </c>
      <c r="B354" s="33" t="str">
        <f t="shared" si="37"/>
        <v/>
      </c>
      <c r="C354" s="33" t="str">
        <f t="shared" si="38"/>
        <v/>
      </c>
      <c r="D354" s="34"/>
      <c r="E354" s="33" t="str">
        <f t="shared" si="39"/>
        <v/>
      </c>
      <c r="F354" s="33" t="str">
        <f t="shared" si="40"/>
        <v/>
      </c>
      <c r="G354" s="35"/>
      <c r="H354" s="35"/>
      <c r="I354" s="33"/>
      <c r="J354" s="33" t="str">
        <f t="shared" si="41"/>
        <v/>
      </c>
      <c r="K354" s="36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8"/>
    </row>
    <row r="355" spans="1:35" x14ac:dyDescent="0.3">
      <c r="A355" s="32" t="str">
        <f t="shared" si="36"/>
        <v/>
      </c>
      <c r="B355" s="33" t="str">
        <f t="shared" si="37"/>
        <v/>
      </c>
      <c r="C355" s="33" t="str">
        <f t="shared" si="38"/>
        <v/>
      </c>
      <c r="D355" s="34"/>
      <c r="E355" s="33" t="str">
        <f t="shared" si="39"/>
        <v/>
      </c>
      <c r="F355" s="33" t="str">
        <f t="shared" si="40"/>
        <v/>
      </c>
      <c r="G355" s="35"/>
      <c r="H355" s="35"/>
      <c r="I355" s="33"/>
      <c r="J355" s="33" t="str">
        <f t="shared" si="41"/>
        <v/>
      </c>
      <c r="K355" s="36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8"/>
    </row>
    <row r="356" spans="1:35" x14ac:dyDescent="0.3">
      <c r="A356" s="32" t="str">
        <f t="shared" si="36"/>
        <v/>
      </c>
      <c r="B356" s="33" t="str">
        <f t="shared" si="37"/>
        <v/>
      </c>
      <c r="C356" s="33" t="str">
        <f t="shared" si="38"/>
        <v/>
      </c>
      <c r="D356" s="34"/>
      <c r="E356" s="33" t="str">
        <f t="shared" si="39"/>
        <v/>
      </c>
      <c r="F356" s="33" t="str">
        <f t="shared" si="40"/>
        <v/>
      </c>
      <c r="G356" s="35"/>
      <c r="H356" s="35"/>
      <c r="I356" s="33"/>
      <c r="J356" s="33" t="str">
        <f t="shared" si="41"/>
        <v/>
      </c>
      <c r="K356" s="36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8"/>
    </row>
    <row r="357" spans="1:35" x14ac:dyDescent="0.3">
      <c r="A357" s="32" t="str">
        <f t="shared" si="36"/>
        <v/>
      </c>
      <c r="B357" s="33" t="str">
        <f t="shared" si="37"/>
        <v/>
      </c>
      <c r="C357" s="33" t="str">
        <f t="shared" si="38"/>
        <v/>
      </c>
      <c r="D357" s="34"/>
      <c r="E357" s="33" t="str">
        <f t="shared" si="39"/>
        <v/>
      </c>
      <c r="F357" s="33" t="str">
        <f t="shared" si="40"/>
        <v/>
      </c>
      <c r="G357" s="35"/>
      <c r="H357" s="35"/>
      <c r="I357" s="33"/>
      <c r="J357" s="33" t="str">
        <f t="shared" si="41"/>
        <v/>
      </c>
      <c r="K357" s="36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8"/>
    </row>
    <row r="358" spans="1:35" x14ac:dyDescent="0.3">
      <c r="A358" s="32" t="str">
        <f t="shared" si="36"/>
        <v/>
      </c>
      <c r="B358" s="33" t="str">
        <f t="shared" si="37"/>
        <v/>
      </c>
      <c r="C358" s="33" t="str">
        <f t="shared" si="38"/>
        <v/>
      </c>
      <c r="D358" s="34"/>
      <c r="E358" s="33" t="str">
        <f t="shared" si="39"/>
        <v/>
      </c>
      <c r="F358" s="33" t="str">
        <f t="shared" si="40"/>
        <v/>
      </c>
      <c r="G358" s="35"/>
      <c r="H358" s="35"/>
      <c r="I358" s="33"/>
      <c r="J358" s="33" t="str">
        <f t="shared" si="41"/>
        <v/>
      </c>
      <c r="K358" s="36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8"/>
    </row>
    <row r="359" spans="1:35" x14ac:dyDescent="0.3">
      <c r="A359" s="32" t="str">
        <f t="shared" si="36"/>
        <v/>
      </c>
      <c r="B359" s="33" t="str">
        <f t="shared" si="37"/>
        <v/>
      </c>
      <c r="C359" s="33" t="str">
        <f t="shared" si="38"/>
        <v/>
      </c>
      <c r="D359" s="34"/>
      <c r="E359" s="33" t="str">
        <f t="shared" si="39"/>
        <v/>
      </c>
      <c r="F359" s="33" t="str">
        <f t="shared" si="40"/>
        <v/>
      </c>
      <c r="G359" s="35"/>
      <c r="H359" s="35"/>
      <c r="I359" s="33"/>
      <c r="J359" s="33" t="str">
        <f t="shared" si="41"/>
        <v/>
      </c>
      <c r="K359" s="36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8"/>
    </row>
    <row r="360" spans="1:35" x14ac:dyDescent="0.3">
      <c r="A360" s="32" t="str">
        <f t="shared" si="36"/>
        <v/>
      </c>
      <c r="B360" s="33" t="str">
        <f t="shared" si="37"/>
        <v/>
      </c>
      <c r="C360" s="33" t="str">
        <f t="shared" si="38"/>
        <v/>
      </c>
      <c r="D360" s="34"/>
      <c r="E360" s="33" t="str">
        <f t="shared" si="39"/>
        <v/>
      </c>
      <c r="F360" s="33" t="str">
        <f t="shared" si="40"/>
        <v/>
      </c>
      <c r="G360" s="35"/>
      <c r="H360" s="35"/>
      <c r="I360" s="33"/>
      <c r="J360" s="33" t="str">
        <f t="shared" si="41"/>
        <v/>
      </c>
      <c r="K360" s="36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8"/>
    </row>
    <row r="361" spans="1:35" x14ac:dyDescent="0.3">
      <c r="A361" s="32" t="str">
        <f t="shared" si="36"/>
        <v/>
      </c>
      <c r="B361" s="33" t="str">
        <f t="shared" si="37"/>
        <v/>
      </c>
      <c r="C361" s="33" t="str">
        <f t="shared" si="38"/>
        <v/>
      </c>
      <c r="D361" s="34"/>
      <c r="E361" s="33" t="str">
        <f t="shared" si="39"/>
        <v/>
      </c>
      <c r="F361" s="33" t="str">
        <f t="shared" si="40"/>
        <v/>
      </c>
      <c r="G361" s="35"/>
      <c r="H361" s="35"/>
      <c r="I361" s="33"/>
      <c r="J361" s="33" t="str">
        <f t="shared" si="41"/>
        <v/>
      </c>
      <c r="K361" s="36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8"/>
    </row>
    <row r="362" spans="1:35" x14ac:dyDescent="0.3">
      <c r="A362" s="32" t="str">
        <f t="shared" si="36"/>
        <v/>
      </c>
      <c r="B362" s="33" t="str">
        <f t="shared" si="37"/>
        <v/>
      </c>
      <c r="C362" s="33" t="str">
        <f t="shared" si="38"/>
        <v/>
      </c>
      <c r="D362" s="34"/>
      <c r="E362" s="33" t="str">
        <f t="shared" si="39"/>
        <v/>
      </c>
      <c r="F362" s="33" t="str">
        <f t="shared" si="40"/>
        <v/>
      </c>
      <c r="G362" s="35"/>
      <c r="H362" s="35"/>
      <c r="I362" s="33"/>
      <c r="J362" s="33" t="str">
        <f t="shared" si="41"/>
        <v/>
      </c>
      <c r="K362" s="36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8"/>
    </row>
    <row r="363" spans="1:35" x14ac:dyDescent="0.3">
      <c r="A363" s="32" t="str">
        <f t="shared" si="36"/>
        <v/>
      </c>
      <c r="B363" s="33" t="str">
        <f t="shared" si="37"/>
        <v/>
      </c>
      <c r="C363" s="33" t="str">
        <f t="shared" si="38"/>
        <v/>
      </c>
      <c r="D363" s="34"/>
      <c r="E363" s="33" t="str">
        <f t="shared" si="39"/>
        <v/>
      </c>
      <c r="F363" s="33" t="str">
        <f t="shared" si="40"/>
        <v/>
      </c>
      <c r="G363" s="35"/>
      <c r="H363" s="35"/>
      <c r="I363" s="33"/>
      <c r="J363" s="33" t="str">
        <f t="shared" si="41"/>
        <v/>
      </c>
      <c r="K363" s="36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8"/>
    </row>
    <row r="364" spans="1:35" x14ac:dyDescent="0.3">
      <c r="A364" s="32" t="str">
        <f t="shared" si="36"/>
        <v/>
      </c>
      <c r="B364" s="33" t="str">
        <f t="shared" si="37"/>
        <v/>
      </c>
      <c r="C364" s="33" t="str">
        <f t="shared" si="38"/>
        <v/>
      </c>
      <c r="D364" s="34"/>
      <c r="E364" s="33" t="str">
        <f t="shared" si="39"/>
        <v/>
      </c>
      <c r="F364" s="33" t="str">
        <f t="shared" si="40"/>
        <v/>
      </c>
      <c r="G364" s="35"/>
      <c r="H364" s="35"/>
      <c r="I364" s="33"/>
      <c r="J364" s="33" t="str">
        <f t="shared" si="41"/>
        <v/>
      </c>
      <c r="K364" s="36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8"/>
    </row>
    <row r="365" spans="1:35" x14ac:dyDescent="0.3">
      <c r="A365" s="32" t="str">
        <f t="shared" si="36"/>
        <v/>
      </c>
      <c r="B365" s="33" t="str">
        <f t="shared" si="37"/>
        <v/>
      </c>
      <c r="C365" s="33" t="str">
        <f t="shared" si="38"/>
        <v/>
      </c>
      <c r="D365" s="34"/>
      <c r="E365" s="33" t="str">
        <f t="shared" si="39"/>
        <v/>
      </c>
      <c r="F365" s="33" t="str">
        <f t="shared" si="40"/>
        <v/>
      </c>
      <c r="G365" s="35"/>
      <c r="H365" s="35"/>
      <c r="I365" s="33"/>
      <c r="J365" s="33" t="str">
        <f t="shared" si="41"/>
        <v/>
      </c>
      <c r="K365" s="36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8"/>
    </row>
    <row r="366" spans="1:35" x14ac:dyDescent="0.3">
      <c r="A366" s="32" t="str">
        <f t="shared" si="36"/>
        <v/>
      </c>
      <c r="B366" s="33" t="str">
        <f t="shared" si="37"/>
        <v/>
      </c>
      <c r="C366" s="33" t="str">
        <f t="shared" si="38"/>
        <v/>
      </c>
      <c r="D366" s="34"/>
      <c r="E366" s="33" t="str">
        <f t="shared" si="39"/>
        <v/>
      </c>
      <c r="F366" s="33" t="str">
        <f t="shared" si="40"/>
        <v/>
      </c>
      <c r="G366" s="35"/>
      <c r="H366" s="35"/>
      <c r="I366" s="33"/>
      <c r="J366" s="33" t="str">
        <f t="shared" si="41"/>
        <v/>
      </c>
      <c r="K366" s="36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8"/>
    </row>
    <row r="367" spans="1:35" x14ac:dyDescent="0.3">
      <c r="A367" s="32" t="str">
        <f t="shared" si="36"/>
        <v/>
      </c>
      <c r="B367" s="33" t="str">
        <f t="shared" si="37"/>
        <v/>
      </c>
      <c r="C367" s="33" t="str">
        <f t="shared" si="38"/>
        <v/>
      </c>
      <c r="D367" s="34"/>
      <c r="E367" s="33" t="str">
        <f t="shared" si="39"/>
        <v/>
      </c>
      <c r="F367" s="33" t="str">
        <f t="shared" si="40"/>
        <v/>
      </c>
      <c r="G367" s="35"/>
      <c r="H367" s="35"/>
      <c r="I367" s="33"/>
      <c r="J367" s="33" t="str">
        <f t="shared" si="41"/>
        <v/>
      </c>
      <c r="K367" s="36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8"/>
    </row>
    <row r="368" spans="1:35" x14ac:dyDescent="0.3">
      <c r="A368" s="32" t="str">
        <f t="shared" si="36"/>
        <v/>
      </c>
      <c r="B368" s="33" t="str">
        <f t="shared" si="37"/>
        <v/>
      </c>
      <c r="C368" s="33" t="str">
        <f t="shared" si="38"/>
        <v/>
      </c>
      <c r="D368" s="34"/>
      <c r="E368" s="33" t="str">
        <f t="shared" si="39"/>
        <v/>
      </c>
      <c r="F368" s="33" t="str">
        <f t="shared" si="40"/>
        <v/>
      </c>
      <c r="G368" s="35"/>
      <c r="H368" s="35"/>
      <c r="I368" s="33"/>
      <c r="J368" s="33" t="str">
        <f t="shared" si="41"/>
        <v/>
      </c>
      <c r="K368" s="36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8"/>
    </row>
    <row r="369" spans="1:35" x14ac:dyDescent="0.3">
      <c r="A369" s="32" t="str">
        <f t="shared" si="36"/>
        <v/>
      </c>
      <c r="B369" s="33" t="str">
        <f t="shared" si="37"/>
        <v/>
      </c>
      <c r="C369" s="33" t="str">
        <f t="shared" si="38"/>
        <v/>
      </c>
      <c r="D369" s="34"/>
      <c r="E369" s="33" t="str">
        <f t="shared" si="39"/>
        <v/>
      </c>
      <c r="F369" s="33" t="str">
        <f t="shared" si="40"/>
        <v/>
      </c>
      <c r="G369" s="35"/>
      <c r="H369" s="35"/>
      <c r="I369" s="33"/>
      <c r="J369" s="33" t="str">
        <f t="shared" si="41"/>
        <v/>
      </c>
      <c r="K369" s="36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8"/>
    </row>
    <row r="370" spans="1:35" x14ac:dyDescent="0.3">
      <c r="A370" s="32" t="str">
        <f t="shared" si="36"/>
        <v/>
      </c>
      <c r="B370" s="33" t="str">
        <f t="shared" si="37"/>
        <v/>
      </c>
      <c r="C370" s="33" t="str">
        <f t="shared" si="38"/>
        <v/>
      </c>
      <c r="D370" s="34"/>
      <c r="E370" s="33" t="str">
        <f t="shared" si="39"/>
        <v/>
      </c>
      <c r="F370" s="33" t="str">
        <f t="shared" si="40"/>
        <v/>
      </c>
      <c r="G370" s="35"/>
      <c r="H370" s="35"/>
      <c r="I370" s="33"/>
      <c r="J370" s="33" t="str">
        <f t="shared" si="41"/>
        <v/>
      </c>
      <c r="K370" s="36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8"/>
    </row>
    <row r="371" spans="1:35" x14ac:dyDescent="0.3">
      <c r="A371" s="32" t="str">
        <f t="shared" si="36"/>
        <v/>
      </c>
      <c r="B371" s="33" t="str">
        <f t="shared" si="37"/>
        <v/>
      </c>
      <c r="C371" s="33" t="str">
        <f t="shared" si="38"/>
        <v/>
      </c>
      <c r="D371" s="34"/>
      <c r="E371" s="33" t="str">
        <f t="shared" si="39"/>
        <v/>
      </c>
      <c r="F371" s="33" t="str">
        <f t="shared" si="40"/>
        <v/>
      </c>
      <c r="G371" s="35"/>
      <c r="H371" s="35"/>
      <c r="I371" s="33"/>
      <c r="J371" s="33" t="str">
        <f t="shared" si="41"/>
        <v/>
      </c>
      <c r="K371" s="36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8"/>
    </row>
    <row r="372" spans="1:35" x14ac:dyDescent="0.3">
      <c r="A372" s="32" t="str">
        <f t="shared" si="36"/>
        <v/>
      </c>
      <c r="B372" s="33" t="str">
        <f t="shared" si="37"/>
        <v/>
      </c>
      <c r="C372" s="33" t="str">
        <f t="shared" si="38"/>
        <v/>
      </c>
      <c r="D372" s="34"/>
      <c r="E372" s="33" t="str">
        <f t="shared" si="39"/>
        <v/>
      </c>
      <c r="F372" s="33" t="str">
        <f t="shared" si="40"/>
        <v/>
      </c>
      <c r="G372" s="35"/>
      <c r="H372" s="35"/>
      <c r="I372" s="33"/>
      <c r="J372" s="33" t="str">
        <f t="shared" si="41"/>
        <v/>
      </c>
      <c r="K372" s="36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8"/>
    </row>
    <row r="373" spans="1:35" x14ac:dyDescent="0.3">
      <c r="A373" s="32" t="str">
        <f t="shared" si="36"/>
        <v/>
      </c>
      <c r="B373" s="33" t="str">
        <f t="shared" si="37"/>
        <v/>
      </c>
      <c r="C373" s="33" t="str">
        <f t="shared" si="38"/>
        <v/>
      </c>
      <c r="D373" s="34"/>
      <c r="E373" s="33" t="str">
        <f t="shared" si="39"/>
        <v/>
      </c>
      <c r="F373" s="33" t="str">
        <f t="shared" si="40"/>
        <v/>
      </c>
      <c r="G373" s="35"/>
      <c r="H373" s="35"/>
      <c r="I373" s="33"/>
      <c r="J373" s="33" t="str">
        <f t="shared" si="41"/>
        <v/>
      </c>
      <c r="K373" s="36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8"/>
    </row>
    <row r="374" spans="1:35" x14ac:dyDescent="0.3">
      <c r="A374" s="32" t="str">
        <f t="shared" si="36"/>
        <v/>
      </c>
      <c r="B374" s="33" t="str">
        <f t="shared" si="37"/>
        <v/>
      </c>
      <c r="C374" s="33" t="str">
        <f t="shared" si="38"/>
        <v/>
      </c>
      <c r="D374" s="34"/>
      <c r="E374" s="33" t="str">
        <f t="shared" si="39"/>
        <v/>
      </c>
      <c r="F374" s="33" t="str">
        <f t="shared" si="40"/>
        <v/>
      </c>
      <c r="G374" s="35"/>
      <c r="H374" s="35"/>
      <c r="I374" s="33"/>
      <c r="J374" s="33" t="str">
        <f t="shared" si="41"/>
        <v/>
      </c>
      <c r="K374" s="36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8"/>
    </row>
    <row r="375" spans="1:35" x14ac:dyDescent="0.3">
      <c r="A375" s="32" t="str">
        <f t="shared" si="36"/>
        <v/>
      </c>
      <c r="B375" s="33" t="str">
        <f t="shared" si="37"/>
        <v/>
      </c>
      <c r="C375" s="33" t="str">
        <f t="shared" si="38"/>
        <v/>
      </c>
      <c r="D375" s="34"/>
      <c r="E375" s="33" t="str">
        <f t="shared" si="39"/>
        <v/>
      </c>
      <c r="F375" s="33" t="str">
        <f t="shared" si="40"/>
        <v/>
      </c>
      <c r="G375" s="35"/>
      <c r="H375" s="35"/>
      <c r="I375" s="33"/>
      <c r="J375" s="33" t="str">
        <f t="shared" si="41"/>
        <v/>
      </c>
      <c r="K375" s="36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8"/>
    </row>
    <row r="376" spans="1:35" x14ac:dyDescent="0.3">
      <c r="A376" s="32" t="str">
        <f t="shared" si="36"/>
        <v/>
      </c>
      <c r="B376" s="33" t="str">
        <f t="shared" si="37"/>
        <v/>
      </c>
      <c r="C376" s="33" t="str">
        <f t="shared" si="38"/>
        <v/>
      </c>
      <c r="D376" s="34"/>
      <c r="E376" s="33" t="str">
        <f t="shared" si="39"/>
        <v/>
      </c>
      <c r="F376" s="33" t="str">
        <f t="shared" si="40"/>
        <v/>
      </c>
      <c r="G376" s="35"/>
      <c r="H376" s="35"/>
      <c r="I376" s="33"/>
      <c r="J376" s="33" t="str">
        <f t="shared" si="41"/>
        <v/>
      </c>
      <c r="K376" s="36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8"/>
    </row>
    <row r="377" spans="1:35" x14ac:dyDescent="0.3">
      <c r="A377" s="32" t="str">
        <f t="shared" si="36"/>
        <v/>
      </c>
      <c r="B377" s="33" t="str">
        <f t="shared" si="37"/>
        <v/>
      </c>
      <c r="C377" s="33" t="str">
        <f t="shared" si="38"/>
        <v/>
      </c>
      <c r="D377" s="34"/>
      <c r="E377" s="33" t="str">
        <f t="shared" si="39"/>
        <v/>
      </c>
      <c r="F377" s="33" t="str">
        <f t="shared" si="40"/>
        <v/>
      </c>
      <c r="G377" s="35"/>
      <c r="H377" s="35"/>
      <c r="I377" s="33"/>
      <c r="J377" s="33" t="str">
        <f t="shared" si="41"/>
        <v/>
      </c>
      <c r="K377" s="36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8"/>
    </row>
    <row r="378" spans="1:35" x14ac:dyDescent="0.3">
      <c r="A378" s="32" t="str">
        <f t="shared" si="36"/>
        <v/>
      </c>
      <c r="B378" s="33" t="str">
        <f t="shared" si="37"/>
        <v/>
      </c>
      <c r="C378" s="33" t="str">
        <f t="shared" si="38"/>
        <v/>
      </c>
      <c r="D378" s="34"/>
      <c r="E378" s="33" t="str">
        <f t="shared" si="39"/>
        <v/>
      </c>
      <c r="F378" s="33" t="str">
        <f t="shared" si="40"/>
        <v/>
      </c>
      <c r="G378" s="35"/>
      <c r="H378" s="35"/>
      <c r="I378" s="33"/>
      <c r="J378" s="33" t="str">
        <f t="shared" si="41"/>
        <v/>
      </c>
      <c r="K378" s="36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8"/>
    </row>
    <row r="379" spans="1:35" x14ac:dyDescent="0.3">
      <c r="A379" s="32" t="str">
        <f t="shared" si="36"/>
        <v/>
      </c>
      <c r="B379" s="33" t="str">
        <f t="shared" si="37"/>
        <v/>
      </c>
      <c r="C379" s="33" t="str">
        <f t="shared" si="38"/>
        <v/>
      </c>
      <c r="D379" s="34"/>
      <c r="E379" s="33" t="str">
        <f t="shared" si="39"/>
        <v/>
      </c>
      <c r="F379" s="33" t="str">
        <f t="shared" si="40"/>
        <v/>
      </c>
      <c r="G379" s="35"/>
      <c r="H379" s="35"/>
      <c r="I379" s="33"/>
      <c r="J379" s="33" t="str">
        <f t="shared" si="41"/>
        <v/>
      </c>
      <c r="K379" s="36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8"/>
    </row>
    <row r="380" spans="1:35" x14ac:dyDescent="0.3">
      <c r="A380" s="32" t="str">
        <f t="shared" si="36"/>
        <v/>
      </c>
      <c r="B380" s="33" t="str">
        <f t="shared" si="37"/>
        <v/>
      </c>
      <c r="C380" s="33" t="str">
        <f t="shared" si="38"/>
        <v/>
      </c>
      <c r="D380" s="34"/>
      <c r="E380" s="33" t="str">
        <f t="shared" si="39"/>
        <v/>
      </c>
      <c r="F380" s="33" t="str">
        <f t="shared" si="40"/>
        <v/>
      </c>
      <c r="G380" s="35"/>
      <c r="H380" s="35"/>
      <c r="I380" s="33"/>
      <c r="J380" s="33" t="str">
        <f t="shared" si="41"/>
        <v/>
      </c>
      <c r="K380" s="36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8"/>
    </row>
    <row r="381" spans="1:35" x14ac:dyDescent="0.3">
      <c r="A381" s="32" t="str">
        <f t="shared" si="36"/>
        <v/>
      </c>
      <c r="B381" s="33" t="str">
        <f t="shared" si="37"/>
        <v/>
      </c>
      <c r="C381" s="33" t="str">
        <f t="shared" si="38"/>
        <v/>
      </c>
      <c r="D381" s="34"/>
      <c r="E381" s="33" t="str">
        <f t="shared" si="39"/>
        <v/>
      </c>
      <c r="F381" s="33" t="str">
        <f t="shared" si="40"/>
        <v/>
      </c>
      <c r="G381" s="35"/>
      <c r="H381" s="35"/>
      <c r="I381" s="33"/>
      <c r="J381" s="33" t="str">
        <f t="shared" si="41"/>
        <v/>
      </c>
      <c r="K381" s="36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8"/>
    </row>
    <row r="382" spans="1:35" x14ac:dyDescent="0.3">
      <c r="A382" s="32" t="str">
        <f t="shared" si="36"/>
        <v/>
      </c>
      <c r="B382" s="33" t="str">
        <f t="shared" si="37"/>
        <v/>
      </c>
      <c r="C382" s="33" t="str">
        <f t="shared" si="38"/>
        <v/>
      </c>
      <c r="D382" s="34"/>
      <c r="E382" s="33" t="str">
        <f t="shared" si="39"/>
        <v/>
      </c>
      <c r="F382" s="33" t="str">
        <f t="shared" si="40"/>
        <v/>
      </c>
      <c r="G382" s="35"/>
      <c r="H382" s="35"/>
      <c r="I382" s="33"/>
      <c r="J382" s="33" t="str">
        <f t="shared" si="41"/>
        <v/>
      </c>
      <c r="K382" s="36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8"/>
    </row>
    <row r="383" spans="1:35" x14ac:dyDescent="0.3">
      <c r="A383" s="32" t="str">
        <f t="shared" si="36"/>
        <v/>
      </c>
      <c r="B383" s="33" t="str">
        <f t="shared" si="37"/>
        <v/>
      </c>
      <c r="C383" s="33" t="str">
        <f t="shared" si="38"/>
        <v/>
      </c>
      <c r="D383" s="34"/>
      <c r="E383" s="33" t="str">
        <f t="shared" si="39"/>
        <v/>
      </c>
      <c r="F383" s="33" t="str">
        <f t="shared" si="40"/>
        <v/>
      </c>
      <c r="G383" s="35"/>
      <c r="H383" s="35"/>
      <c r="I383" s="33"/>
      <c r="J383" s="33" t="str">
        <f t="shared" si="41"/>
        <v/>
      </c>
      <c r="K383" s="36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8"/>
    </row>
    <row r="384" spans="1:35" x14ac:dyDescent="0.3">
      <c r="A384" s="32" t="str">
        <f t="shared" si="36"/>
        <v/>
      </c>
      <c r="B384" s="33" t="str">
        <f t="shared" si="37"/>
        <v/>
      </c>
      <c r="C384" s="33" t="str">
        <f t="shared" si="38"/>
        <v/>
      </c>
      <c r="D384" s="34"/>
      <c r="E384" s="33" t="str">
        <f t="shared" si="39"/>
        <v/>
      </c>
      <c r="F384" s="33" t="str">
        <f t="shared" si="40"/>
        <v/>
      </c>
      <c r="G384" s="35"/>
      <c r="H384" s="35"/>
      <c r="I384" s="33"/>
      <c r="J384" s="33" t="str">
        <f t="shared" si="41"/>
        <v/>
      </c>
      <c r="K384" s="36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8"/>
    </row>
    <row r="385" spans="1:35" x14ac:dyDescent="0.3">
      <c r="A385" s="32" t="str">
        <f t="shared" si="36"/>
        <v/>
      </c>
      <c r="B385" s="33" t="str">
        <f t="shared" si="37"/>
        <v/>
      </c>
      <c r="C385" s="33" t="str">
        <f t="shared" si="38"/>
        <v/>
      </c>
      <c r="D385" s="34"/>
      <c r="E385" s="33" t="str">
        <f t="shared" si="39"/>
        <v/>
      </c>
      <c r="F385" s="33" t="str">
        <f t="shared" si="40"/>
        <v/>
      </c>
      <c r="G385" s="35"/>
      <c r="H385" s="35"/>
      <c r="I385" s="33"/>
      <c r="J385" s="33" t="str">
        <f t="shared" si="41"/>
        <v/>
      </c>
      <c r="K385" s="36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8"/>
    </row>
    <row r="386" spans="1:35" ht="15.75" customHeight="1" x14ac:dyDescent="0.3">
      <c r="A386" s="32" t="str">
        <f t="shared" si="36"/>
        <v/>
      </c>
      <c r="B386" s="33" t="str">
        <f t="shared" si="37"/>
        <v/>
      </c>
      <c r="C386" s="33" t="str">
        <f t="shared" si="38"/>
        <v/>
      </c>
      <c r="D386" s="34"/>
      <c r="E386" s="33" t="str">
        <f t="shared" si="39"/>
        <v/>
      </c>
      <c r="F386" s="33" t="str">
        <f t="shared" si="40"/>
        <v/>
      </c>
      <c r="G386" s="35"/>
      <c r="H386" s="35"/>
      <c r="I386" s="33"/>
      <c r="J386" s="33" t="str">
        <f t="shared" si="41"/>
        <v/>
      </c>
      <c r="K386" s="36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8"/>
    </row>
    <row r="387" spans="1:35" x14ac:dyDescent="0.3">
      <c r="A387" s="32" t="str">
        <f t="shared" si="36"/>
        <v/>
      </c>
      <c r="B387" s="33" t="str">
        <f t="shared" si="37"/>
        <v/>
      </c>
      <c r="C387" s="33" t="str">
        <f t="shared" si="38"/>
        <v/>
      </c>
      <c r="D387" s="34"/>
      <c r="E387" s="33" t="str">
        <f t="shared" si="39"/>
        <v/>
      </c>
      <c r="F387" s="33" t="str">
        <f t="shared" si="40"/>
        <v/>
      </c>
      <c r="G387" s="35"/>
      <c r="H387" s="35"/>
      <c r="I387" s="33"/>
      <c r="J387" s="33" t="str">
        <f t="shared" si="41"/>
        <v/>
      </c>
      <c r="K387" s="36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8"/>
    </row>
    <row r="388" spans="1:35" x14ac:dyDescent="0.3">
      <c r="A388" s="32" t="str">
        <f t="shared" si="36"/>
        <v/>
      </c>
      <c r="B388" s="33" t="str">
        <f t="shared" si="37"/>
        <v/>
      </c>
      <c r="C388" s="33" t="str">
        <f t="shared" si="38"/>
        <v/>
      </c>
      <c r="D388" s="34"/>
      <c r="E388" s="33" t="str">
        <f t="shared" si="39"/>
        <v/>
      </c>
      <c r="F388" s="33" t="str">
        <f t="shared" si="40"/>
        <v/>
      </c>
      <c r="G388" s="35"/>
      <c r="H388" s="35"/>
      <c r="I388" s="33"/>
      <c r="J388" s="33" t="str">
        <f t="shared" si="41"/>
        <v/>
      </c>
      <c r="K388" s="36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8"/>
    </row>
    <row r="389" spans="1:35" x14ac:dyDescent="0.3">
      <c r="A389" s="32" t="str">
        <f t="shared" si="36"/>
        <v/>
      </c>
      <c r="B389" s="33" t="str">
        <f t="shared" si="37"/>
        <v/>
      </c>
      <c r="C389" s="33" t="str">
        <f t="shared" si="38"/>
        <v/>
      </c>
      <c r="D389" s="34"/>
      <c r="E389" s="33" t="str">
        <f t="shared" si="39"/>
        <v/>
      </c>
      <c r="F389" s="33" t="str">
        <f t="shared" si="40"/>
        <v/>
      </c>
      <c r="G389" s="35"/>
      <c r="H389" s="35"/>
      <c r="I389" s="33"/>
      <c r="J389" s="33" t="str">
        <f t="shared" si="41"/>
        <v/>
      </c>
      <c r="K389" s="36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8"/>
    </row>
    <row r="390" spans="1:35" x14ac:dyDescent="0.3">
      <c r="A390" s="32" t="str">
        <f t="shared" si="36"/>
        <v/>
      </c>
      <c r="B390" s="33" t="str">
        <f t="shared" si="37"/>
        <v/>
      </c>
      <c r="C390" s="33" t="str">
        <f t="shared" si="38"/>
        <v/>
      </c>
      <c r="D390" s="34"/>
      <c r="E390" s="33" t="str">
        <f t="shared" si="39"/>
        <v/>
      </c>
      <c r="F390" s="33" t="str">
        <f t="shared" si="40"/>
        <v/>
      </c>
      <c r="G390" s="35"/>
      <c r="H390" s="35"/>
      <c r="I390" s="33"/>
      <c r="J390" s="33" t="str">
        <f t="shared" si="41"/>
        <v/>
      </c>
      <c r="K390" s="36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8"/>
    </row>
    <row r="391" spans="1:35" x14ac:dyDescent="0.3">
      <c r="A391" s="32" t="str">
        <f t="shared" si="36"/>
        <v/>
      </c>
      <c r="B391" s="33" t="str">
        <f t="shared" si="37"/>
        <v/>
      </c>
      <c r="C391" s="33" t="str">
        <f t="shared" si="38"/>
        <v/>
      </c>
      <c r="D391" s="34"/>
      <c r="E391" s="33" t="str">
        <f t="shared" si="39"/>
        <v/>
      </c>
      <c r="F391" s="33" t="str">
        <f t="shared" si="40"/>
        <v/>
      </c>
      <c r="G391" s="35"/>
      <c r="H391" s="35"/>
      <c r="I391" s="33"/>
      <c r="J391" s="33" t="str">
        <f t="shared" si="41"/>
        <v/>
      </c>
      <c r="K391" s="36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8"/>
    </row>
    <row r="392" spans="1:35" x14ac:dyDescent="0.3">
      <c r="A392" s="32" t="str">
        <f t="shared" si="36"/>
        <v/>
      </c>
      <c r="B392" s="33" t="str">
        <f t="shared" si="37"/>
        <v/>
      </c>
      <c r="C392" s="33" t="str">
        <f t="shared" si="38"/>
        <v/>
      </c>
      <c r="D392" s="34"/>
      <c r="E392" s="33" t="str">
        <f t="shared" si="39"/>
        <v/>
      </c>
      <c r="F392" s="33" t="str">
        <f t="shared" si="40"/>
        <v/>
      </c>
      <c r="G392" s="35"/>
      <c r="H392" s="35"/>
      <c r="I392" s="33"/>
      <c r="J392" s="33" t="str">
        <f t="shared" si="41"/>
        <v/>
      </c>
      <c r="K392" s="36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8"/>
    </row>
    <row r="393" spans="1:35" x14ac:dyDescent="0.3">
      <c r="A393" s="32" t="str">
        <f t="shared" si="36"/>
        <v/>
      </c>
      <c r="B393" s="33" t="str">
        <f t="shared" si="37"/>
        <v/>
      </c>
      <c r="C393" s="33" t="str">
        <f t="shared" si="38"/>
        <v/>
      </c>
      <c r="D393" s="34"/>
      <c r="E393" s="33" t="str">
        <f t="shared" si="39"/>
        <v/>
      </c>
      <c r="F393" s="33" t="str">
        <f t="shared" si="40"/>
        <v/>
      </c>
      <c r="G393" s="35"/>
      <c r="H393" s="35"/>
      <c r="I393" s="33"/>
      <c r="J393" s="33" t="str">
        <f t="shared" si="41"/>
        <v/>
      </c>
      <c r="K393" s="36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8"/>
    </row>
    <row r="394" spans="1:35" x14ac:dyDescent="0.3">
      <c r="A394" s="32" t="str">
        <f t="shared" si="36"/>
        <v/>
      </c>
      <c r="B394" s="33" t="str">
        <f t="shared" si="37"/>
        <v/>
      </c>
      <c r="C394" s="33" t="str">
        <f t="shared" si="38"/>
        <v/>
      </c>
      <c r="D394" s="34"/>
      <c r="E394" s="33" t="str">
        <f t="shared" si="39"/>
        <v/>
      </c>
      <c r="F394" s="33" t="str">
        <f t="shared" si="40"/>
        <v/>
      </c>
      <c r="G394" s="35"/>
      <c r="H394" s="35"/>
      <c r="I394" s="33"/>
      <c r="J394" s="33" t="str">
        <f t="shared" si="41"/>
        <v/>
      </c>
      <c r="K394" s="36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8"/>
    </row>
    <row r="395" spans="1:35" x14ac:dyDescent="0.3">
      <c r="A395" s="32" t="str">
        <f t="shared" si="36"/>
        <v/>
      </c>
      <c r="B395" s="33" t="str">
        <f t="shared" si="37"/>
        <v/>
      </c>
      <c r="C395" s="33" t="str">
        <f t="shared" si="38"/>
        <v/>
      </c>
      <c r="D395" s="34"/>
      <c r="E395" s="33" t="str">
        <f t="shared" si="39"/>
        <v/>
      </c>
      <c r="F395" s="33" t="str">
        <f t="shared" si="40"/>
        <v/>
      </c>
      <c r="G395" s="35"/>
      <c r="H395" s="35"/>
      <c r="I395" s="33"/>
      <c r="J395" s="33" t="str">
        <f t="shared" si="41"/>
        <v/>
      </c>
      <c r="K395" s="36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8"/>
    </row>
    <row r="396" spans="1:35" x14ac:dyDescent="0.3">
      <c r="A396" s="32" t="str">
        <f t="shared" si="36"/>
        <v/>
      </c>
      <c r="B396" s="33" t="str">
        <f t="shared" si="37"/>
        <v/>
      </c>
      <c r="C396" s="33" t="str">
        <f t="shared" si="38"/>
        <v/>
      </c>
      <c r="D396" s="34"/>
      <c r="E396" s="33" t="str">
        <f t="shared" si="39"/>
        <v/>
      </c>
      <c r="F396" s="33" t="str">
        <f t="shared" si="40"/>
        <v/>
      </c>
      <c r="G396" s="35"/>
      <c r="H396" s="35"/>
      <c r="I396" s="33"/>
      <c r="J396" s="33" t="str">
        <f t="shared" si="41"/>
        <v/>
      </c>
      <c r="K396" s="36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8"/>
    </row>
    <row r="397" spans="1:35" x14ac:dyDescent="0.3">
      <c r="A397" s="32" t="str">
        <f t="shared" si="36"/>
        <v/>
      </c>
      <c r="B397" s="33" t="str">
        <f t="shared" si="37"/>
        <v/>
      </c>
      <c r="C397" s="33" t="str">
        <f t="shared" si="38"/>
        <v/>
      </c>
      <c r="D397" s="34"/>
      <c r="E397" s="33" t="str">
        <f t="shared" si="39"/>
        <v/>
      </c>
      <c r="F397" s="33" t="str">
        <f t="shared" si="40"/>
        <v/>
      </c>
      <c r="G397" s="35"/>
      <c r="H397" s="35"/>
      <c r="I397" s="33"/>
      <c r="J397" s="33" t="str">
        <f t="shared" si="41"/>
        <v/>
      </c>
      <c r="K397" s="36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8"/>
    </row>
    <row r="398" spans="1:35" x14ac:dyDescent="0.3">
      <c r="A398" s="32" t="str">
        <f t="shared" si="36"/>
        <v/>
      </c>
      <c r="B398" s="33" t="str">
        <f t="shared" si="37"/>
        <v/>
      </c>
      <c r="C398" s="33" t="str">
        <f t="shared" si="38"/>
        <v/>
      </c>
      <c r="D398" s="34"/>
      <c r="E398" s="33" t="str">
        <f t="shared" si="39"/>
        <v/>
      </c>
      <c r="F398" s="33" t="str">
        <f t="shared" si="40"/>
        <v/>
      </c>
      <c r="G398" s="35"/>
      <c r="H398" s="35"/>
      <c r="I398" s="33"/>
      <c r="J398" s="33" t="str">
        <f t="shared" si="41"/>
        <v/>
      </c>
      <c r="K398" s="36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8"/>
    </row>
    <row r="399" spans="1:35" x14ac:dyDescent="0.3">
      <c r="A399" s="32" t="str">
        <f t="shared" si="36"/>
        <v/>
      </c>
      <c r="B399" s="33" t="str">
        <f t="shared" si="37"/>
        <v/>
      </c>
      <c r="C399" s="33" t="str">
        <f t="shared" si="38"/>
        <v/>
      </c>
      <c r="D399" s="34"/>
      <c r="E399" s="33" t="str">
        <f t="shared" si="39"/>
        <v/>
      </c>
      <c r="F399" s="33" t="str">
        <f t="shared" si="40"/>
        <v/>
      </c>
      <c r="G399" s="35"/>
      <c r="H399" s="35"/>
      <c r="I399" s="33"/>
      <c r="J399" s="33" t="str">
        <f t="shared" si="41"/>
        <v/>
      </c>
      <c r="K399" s="36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8"/>
    </row>
    <row r="400" spans="1:35" x14ac:dyDescent="0.3">
      <c r="A400" s="32" t="str">
        <f t="shared" si="36"/>
        <v/>
      </c>
      <c r="B400" s="33" t="str">
        <f t="shared" si="37"/>
        <v/>
      </c>
      <c r="C400" s="33" t="str">
        <f t="shared" si="38"/>
        <v/>
      </c>
      <c r="D400" s="34"/>
      <c r="E400" s="33" t="str">
        <f t="shared" si="39"/>
        <v/>
      </c>
      <c r="F400" s="33" t="str">
        <f t="shared" si="40"/>
        <v/>
      </c>
      <c r="G400" s="35"/>
      <c r="H400" s="35"/>
      <c r="I400" s="33"/>
      <c r="J400" s="33" t="str">
        <f t="shared" si="41"/>
        <v/>
      </c>
      <c r="K400" s="36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8"/>
    </row>
    <row r="401" spans="1:35" x14ac:dyDescent="0.3">
      <c r="A401" s="32" t="str">
        <f t="shared" ref="A401:A464" si="42">IF($K401="", "", ROW()-15)</f>
        <v/>
      </c>
      <c r="B401" s="33" t="str">
        <f t="shared" ref="B401:B464" si="43">IFERROR(IF(ISNUMBER(SEARCH("Q", $K401)), "Q", MID(RIGHT($J401, 4), 1, 1)), "")</f>
        <v/>
      </c>
      <c r="C401" s="33" t="str">
        <f t="shared" ref="C401:C464" si="44">IFERROR(IF(ISNUMBER(SEARCH("Q", $K401)), LEFT($K401, LEN($K401)-15), LEFT($K401, LEN($K401)-8)), "")</f>
        <v/>
      </c>
      <c r="D401" s="34"/>
      <c r="E401" s="33" t="str">
        <f t="shared" ref="E401:E464" si="45">IFERROR(IF($F401="", "", IF($F401="01", "최초", "추가")), " ")</f>
        <v/>
      </c>
      <c r="F401" s="33" t="str">
        <f t="shared" ref="F401:F464" si="46">IFERROR(IF(ISNUMBER(SEARCH("Q", $K401)), MID(RIGHT($K401, 9), 1, 2), RIGHT($K401, 2)), "")</f>
        <v/>
      </c>
      <c r="G401" s="35"/>
      <c r="H401" s="35"/>
      <c r="I401" s="33"/>
      <c r="J401" s="33" t="str">
        <f t="shared" ref="J401:J464" si="47">IFERROR(IF(ISNUMBER(SEARCH("Q", $K401)), LEFT($K401, LEN($K401)-10), LEFT($K401, LEN($K401)-3)), "")</f>
        <v/>
      </c>
      <c r="K401" s="36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8"/>
    </row>
    <row r="402" spans="1:35" x14ac:dyDescent="0.3">
      <c r="A402" s="32" t="str">
        <f t="shared" si="42"/>
        <v/>
      </c>
      <c r="B402" s="33" t="str">
        <f t="shared" si="43"/>
        <v/>
      </c>
      <c r="C402" s="33" t="str">
        <f t="shared" si="44"/>
        <v/>
      </c>
      <c r="D402" s="34"/>
      <c r="E402" s="33" t="str">
        <f t="shared" si="45"/>
        <v/>
      </c>
      <c r="F402" s="33" t="str">
        <f t="shared" si="46"/>
        <v/>
      </c>
      <c r="G402" s="35"/>
      <c r="H402" s="35"/>
      <c r="I402" s="33"/>
      <c r="J402" s="33" t="str">
        <f t="shared" si="47"/>
        <v/>
      </c>
      <c r="K402" s="36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8"/>
    </row>
    <row r="403" spans="1:35" x14ac:dyDescent="0.3">
      <c r="A403" s="32" t="str">
        <f t="shared" si="42"/>
        <v/>
      </c>
      <c r="B403" s="33" t="str">
        <f t="shared" si="43"/>
        <v/>
      </c>
      <c r="C403" s="33" t="str">
        <f t="shared" si="44"/>
        <v/>
      </c>
      <c r="D403" s="34"/>
      <c r="E403" s="33" t="str">
        <f t="shared" si="45"/>
        <v/>
      </c>
      <c r="F403" s="33" t="str">
        <f t="shared" si="46"/>
        <v/>
      </c>
      <c r="G403" s="35"/>
      <c r="H403" s="35"/>
      <c r="I403" s="33"/>
      <c r="J403" s="33" t="str">
        <f t="shared" si="47"/>
        <v/>
      </c>
      <c r="K403" s="36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8"/>
    </row>
    <row r="404" spans="1:35" x14ac:dyDescent="0.3">
      <c r="A404" s="32" t="str">
        <f t="shared" si="42"/>
        <v/>
      </c>
      <c r="B404" s="33" t="str">
        <f t="shared" si="43"/>
        <v/>
      </c>
      <c r="C404" s="33" t="str">
        <f t="shared" si="44"/>
        <v/>
      </c>
      <c r="D404" s="34"/>
      <c r="E404" s="33" t="str">
        <f t="shared" si="45"/>
        <v/>
      </c>
      <c r="F404" s="33" t="str">
        <f t="shared" si="46"/>
        <v/>
      </c>
      <c r="G404" s="35"/>
      <c r="H404" s="35"/>
      <c r="I404" s="33"/>
      <c r="J404" s="33" t="str">
        <f t="shared" si="47"/>
        <v/>
      </c>
      <c r="K404" s="36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8"/>
    </row>
    <row r="405" spans="1:35" x14ac:dyDescent="0.3">
      <c r="A405" s="32" t="str">
        <f t="shared" si="42"/>
        <v/>
      </c>
      <c r="B405" s="33" t="str">
        <f t="shared" si="43"/>
        <v/>
      </c>
      <c r="C405" s="33" t="str">
        <f t="shared" si="44"/>
        <v/>
      </c>
      <c r="D405" s="34"/>
      <c r="E405" s="33" t="str">
        <f t="shared" si="45"/>
        <v/>
      </c>
      <c r="F405" s="33" t="str">
        <f t="shared" si="46"/>
        <v/>
      </c>
      <c r="G405" s="35"/>
      <c r="H405" s="35"/>
      <c r="I405" s="33"/>
      <c r="J405" s="33" t="str">
        <f t="shared" si="47"/>
        <v/>
      </c>
      <c r="K405" s="36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8"/>
    </row>
    <row r="406" spans="1:35" x14ac:dyDescent="0.3">
      <c r="A406" s="32" t="str">
        <f t="shared" si="42"/>
        <v/>
      </c>
      <c r="B406" s="33" t="str">
        <f t="shared" si="43"/>
        <v/>
      </c>
      <c r="C406" s="33" t="str">
        <f t="shared" si="44"/>
        <v/>
      </c>
      <c r="D406" s="34"/>
      <c r="E406" s="33" t="str">
        <f t="shared" si="45"/>
        <v/>
      </c>
      <c r="F406" s="33" t="str">
        <f t="shared" si="46"/>
        <v/>
      </c>
      <c r="G406" s="35"/>
      <c r="H406" s="35"/>
      <c r="I406" s="33"/>
      <c r="J406" s="33" t="str">
        <f t="shared" si="47"/>
        <v/>
      </c>
      <c r="K406" s="36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8"/>
    </row>
    <row r="407" spans="1:35" x14ac:dyDescent="0.3">
      <c r="A407" s="32" t="str">
        <f t="shared" si="42"/>
        <v/>
      </c>
      <c r="B407" s="33" t="str">
        <f t="shared" si="43"/>
        <v/>
      </c>
      <c r="C407" s="33" t="str">
        <f t="shared" si="44"/>
        <v/>
      </c>
      <c r="D407" s="34"/>
      <c r="E407" s="33" t="str">
        <f t="shared" si="45"/>
        <v/>
      </c>
      <c r="F407" s="33" t="str">
        <f t="shared" si="46"/>
        <v/>
      </c>
      <c r="G407" s="35"/>
      <c r="H407" s="35"/>
      <c r="I407" s="33"/>
      <c r="J407" s="33" t="str">
        <f t="shared" si="47"/>
        <v/>
      </c>
      <c r="K407" s="36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8"/>
    </row>
    <row r="408" spans="1:35" x14ac:dyDescent="0.3">
      <c r="A408" s="32" t="str">
        <f t="shared" si="42"/>
        <v/>
      </c>
      <c r="B408" s="33" t="str">
        <f t="shared" si="43"/>
        <v/>
      </c>
      <c r="C408" s="33" t="str">
        <f t="shared" si="44"/>
        <v/>
      </c>
      <c r="D408" s="34"/>
      <c r="E408" s="33" t="str">
        <f t="shared" si="45"/>
        <v/>
      </c>
      <c r="F408" s="33" t="str">
        <f t="shared" si="46"/>
        <v/>
      </c>
      <c r="G408" s="35"/>
      <c r="H408" s="35"/>
      <c r="I408" s="33"/>
      <c r="J408" s="33" t="str">
        <f t="shared" si="47"/>
        <v/>
      </c>
      <c r="K408" s="36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8"/>
    </row>
    <row r="409" spans="1:35" x14ac:dyDescent="0.3">
      <c r="A409" s="32" t="str">
        <f t="shared" si="42"/>
        <v/>
      </c>
      <c r="B409" s="33" t="str">
        <f t="shared" si="43"/>
        <v/>
      </c>
      <c r="C409" s="33" t="str">
        <f t="shared" si="44"/>
        <v/>
      </c>
      <c r="D409" s="34"/>
      <c r="E409" s="33" t="str">
        <f t="shared" si="45"/>
        <v/>
      </c>
      <c r="F409" s="33" t="str">
        <f t="shared" si="46"/>
        <v/>
      </c>
      <c r="G409" s="35"/>
      <c r="H409" s="35"/>
      <c r="I409" s="33"/>
      <c r="J409" s="33" t="str">
        <f t="shared" si="47"/>
        <v/>
      </c>
      <c r="K409" s="36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8"/>
    </row>
    <row r="410" spans="1:35" x14ac:dyDescent="0.3">
      <c r="A410" s="32" t="str">
        <f t="shared" si="42"/>
        <v/>
      </c>
      <c r="B410" s="33" t="str">
        <f t="shared" si="43"/>
        <v/>
      </c>
      <c r="C410" s="33" t="str">
        <f t="shared" si="44"/>
        <v/>
      </c>
      <c r="D410" s="34"/>
      <c r="E410" s="33" t="str">
        <f t="shared" si="45"/>
        <v/>
      </c>
      <c r="F410" s="33" t="str">
        <f t="shared" si="46"/>
        <v/>
      </c>
      <c r="G410" s="35"/>
      <c r="H410" s="35"/>
      <c r="I410" s="33"/>
      <c r="J410" s="33" t="str">
        <f t="shared" si="47"/>
        <v/>
      </c>
      <c r="K410" s="36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8"/>
    </row>
    <row r="411" spans="1:35" x14ac:dyDescent="0.3">
      <c r="A411" s="32" t="str">
        <f t="shared" si="42"/>
        <v/>
      </c>
      <c r="B411" s="33" t="str">
        <f t="shared" si="43"/>
        <v/>
      </c>
      <c r="C411" s="33" t="str">
        <f t="shared" si="44"/>
        <v/>
      </c>
      <c r="D411" s="34"/>
      <c r="E411" s="33" t="str">
        <f t="shared" si="45"/>
        <v/>
      </c>
      <c r="F411" s="33" t="str">
        <f t="shared" si="46"/>
        <v/>
      </c>
      <c r="G411" s="35"/>
      <c r="H411" s="35"/>
      <c r="I411" s="33"/>
      <c r="J411" s="33" t="str">
        <f t="shared" si="47"/>
        <v/>
      </c>
      <c r="K411" s="36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8"/>
    </row>
    <row r="412" spans="1:35" x14ac:dyDescent="0.3">
      <c r="A412" s="32" t="str">
        <f t="shared" si="42"/>
        <v/>
      </c>
      <c r="B412" s="33" t="str">
        <f t="shared" si="43"/>
        <v/>
      </c>
      <c r="C412" s="33" t="str">
        <f t="shared" si="44"/>
        <v/>
      </c>
      <c r="D412" s="34"/>
      <c r="E412" s="33" t="str">
        <f t="shared" si="45"/>
        <v/>
      </c>
      <c r="F412" s="33" t="str">
        <f t="shared" si="46"/>
        <v/>
      </c>
      <c r="G412" s="35"/>
      <c r="H412" s="35"/>
      <c r="I412" s="33"/>
      <c r="J412" s="33" t="str">
        <f t="shared" si="47"/>
        <v/>
      </c>
      <c r="K412" s="36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8"/>
    </row>
    <row r="413" spans="1:35" x14ac:dyDescent="0.3">
      <c r="A413" s="32" t="str">
        <f t="shared" si="42"/>
        <v/>
      </c>
      <c r="B413" s="33" t="str">
        <f t="shared" si="43"/>
        <v/>
      </c>
      <c r="C413" s="33" t="str">
        <f t="shared" si="44"/>
        <v/>
      </c>
      <c r="D413" s="34"/>
      <c r="E413" s="33" t="str">
        <f t="shared" si="45"/>
        <v/>
      </c>
      <c r="F413" s="33" t="str">
        <f t="shared" si="46"/>
        <v/>
      </c>
      <c r="G413" s="35"/>
      <c r="H413" s="35"/>
      <c r="I413" s="33"/>
      <c r="J413" s="33" t="str">
        <f t="shared" si="47"/>
        <v/>
      </c>
      <c r="K413" s="36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8"/>
    </row>
    <row r="414" spans="1:35" x14ac:dyDescent="0.3">
      <c r="A414" s="32" t="str">
        <f t="shared" si="42"/>
        <v/>
      </c>
      <c r="B414" s="33" t="str">
        <f t="shared" si="43"/>
        <v/>
      </c>
      <c r="C414" s="33" t="str">
        <f t="shared" si="44"/>
        <v/>
      </c>
      <c r="D414" s="34"/>
      <c r="E414" s="33" t="str">
        <f t="shared" si="45"/>
        <v/>
      </c>
      <c r="F414" s="33" t="str">
        <f t="shared" si="46"/>
        <v/>
      </c>
      <c r="G414" s="35"/>
      <c r="H414" s="35"/>
      <c r="I414" s="33"/>
      <c r="J414" s="33" t="str">
        <f t="shared" si="47"/>
        <v/>
      </c>
      <c r="K414" s="36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8"/>
    </row>
    <row r="415" spans="1:35" x14ac:dyDescent="0.3">
      <c r="A415" s="32" t="str">
        <f t="shared" si="42"/>
        <v/>
      </c>
      <c r="B415" s="33" t="str">
        <f t="shared" si="43"/>
        <v/>
      </c>
      <c r="C415" s="33" t="str">
        <f t="shared" si="44"/>
        <v/>
      </c>
      <c r="D415" s="34"/>
      <c r="E415" s="33" t="str">
        <f t="shared" si="45"/>
        <v/>
      </c>
      <c r="F415" s="33" t="str">
        <f t="shared" si="46"/>
        <v/>
      </c>
      <c r="G415" s="35"/>
      <c r="H415" s="35"/>
      <c r="I415" s="33"/>
      <c r="J415" s="33" t="str">
        <f t="shared" si="47"/>
        <v/>
      </c>
      <c r="K415" s="36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8"/>
    </row>
    <row r="416" spans="1:35" x14ac:dyDescent="0.3">
      <c r="A416" s="32" t="str">
        <f t="shared" si="42"/>
        <v/>
      </c>
      <c r="B416" s="33" t="str">
        <f t="shared" si="43"/>
        <v/>
      </c>
      <c r="C416" s="33" t="str">
        <f t="shared" si="44"/>
        <v/>
      </c>
      <c r="D416" s="34"/>
      <c r="E416" s="33" t="str">
        <f t="shared" si="45"/>
        <v/>
      </c>
      <c r="F416" s="33" t="str">
        <f t="shared" si="46"/>
        <v/>
      </c>
      <c r="G416" s="35"/>
      <c r="H416" s="35"/>
      <c r="I416" s="33"/>
      <c r="J416" s="33" t="str">
        <f t="shared" si="47"/>
        <v/>
      </c>
      <c r="K416" s="36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8"/>
    </row>
    <row r="417" spans="1:35" x14ac:dyDescent="0.3">
      <c r="A417" s="32" t="str">
        <f t="shared" si="42"/>
        <v/>
      </c>
      <c r="B417" s="33" t="str">
        <f t="shared" si="43"/>
        <v/>
      </c>
      <c r="C417" s="33" t="str">
        <f t="shared" si="44"/>
        <v/>
      </c>
      <c r="D417" s="34"/>
      <c r="E417" s="33" t="str">
        <f t="shared" si="45"/>
        <v/>
      </c>
      <c r="F417" s="33" t="str">
        <f t="shared" si="46"/>
        <v/>
      </c>
      <c r="G417" s="35"/>
      <c r="H417" s="35"/>
      <c r="I417" s="33"/>
      <c r="J417" s="33" t="str">
        <f t="shared" si="47"/>
        <v/>
      </c>
      <c r="K417" s="36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8"/>
    </row>
    <row r="418" spans="1:35" x14ac:dyDescent="0.3">
      <c r="A418" s="32" t="str">
        <f t="shared" si="42"/>
        <v/>
      </c>
      <c r="B418" s="33" t="str">
        <f t="shared" si="43"/>
        <v/>
      </c>
      <c r="C418" s="33" t="str">
        <f t="shared" si="44"/>
        <v/>
      </c>
      <c r="D418" s="34"/>
      <c r="E418" s="33" t="str">
        <f t="shared" si="45"/>
        <v/>
      </c>
      <c r="F418" s="33" t="str">
        <f t="shared" si="46"/>
        <v/>
      </c>
      <c r="G418" s="35"/>
      <c r="H418" s="35"/>
      <c r="I418" s="33"/>
      <c r="J418" s="33" t="str">
        <f t="shared" si="47"/>
        <v/>
      </c>
      <c r="K418" s="36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8"/>
    </row>
    <row r="419" spans="1:35" x14ac:dyDescent="0.3">
      <c r="A419" s="32" t="str">
        <f t="shared" si="42"/>
        <v/>
      </c>
      <c r="B419" s="33" t="str">
        <f t="shared" si="43"/>
        <v/>
      </c>
      <c r="C419" s="33" t="str">
        <f t="shared" si="44"/>
        <v/>
      </c>
      <c r="D419" s="34"/>
      <c r="E419" s="33" t="str">
        <f t="shared" si="45"/>
        <v/>
      </c>
      <c r="F419" s="33" t="str">
        <f t="shared" si="46"/>
        <v/>
      </c>
      <c r="G419" s="35"/>
      <c r="H419" s="35"/>
      <c r="I419" s="33"/>
      <c r="J419" s="33" t="str">
        <f t="shared" si="47"/>
        <v/>
      </c>
      <c r="K419" s="36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8"/>
    </row>
    <row r="420" spans="1:35" x14ac:dyDescent="0.3">
      <c r="A420" s="32" t="str">
        <f t="shared" si="42"/>
        <v/>
      </c>
      <c r="B420" s="33" t="str">
        <f t="shared" si="43"/>
        <v/>
      </c>
      <c r="C420" s="33" t="str">
        <f t="shared" si="44"/>
        <v/>
      </c>
      <c r="D420" s="34"/>
      <c r="E420" s="33" t="str">
        <f t="shared" si="45"/>
        <v/>
      </c>
      <c r="F420" s="33" t="str">
        <f t="shared" si="46"/>
        <v/>
      </c>
      <c r="G420" s="35"/>
      <c r="H420" s="35"/>
      <c r="I420" s="33"/>
      <c r="J420" s="33" t="str">
        <f t="shared" si="47"/>
        <v/>
      </c>
      <c r="K420" s="36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8"/>
    </row>
    <row r="421" spans="1:35" x14ac:dyDescent="0.3">
      <c r="A421" s="32" t="str">
        <f t="shared" si="42"/>
        <v/>
      </c>
      <c r="B421" s="33" t="str">
        <f t="shared" si="43"/>
        <v/>
      </c>
      <c r="C421" s="33" t="str">
        <f t="shared" si="44"/>
        <v/>
      </c>
      <c r="D421" s="34"/>
      <c r="E421" s="33" t="str">
        <f t="shared" si="45"/>
        <v/>
      </c>
      <c r="F421" s="33" t="str">
        <f t="shared" si="46"/>
        <v/>
      </c>
      <c r="G421" s="35"/>
      <c r="H421" s="35"/>
      <c r="I421" s="33"/>
      <c r="J421" s="33" t="str">
        <f t="shared" si="47"/>
        <v/>
      </c>
      <c r="K421" s="36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8"/>
    </row>
    <row r="422" spans="1:35" x14ac:dyDescent="0.3">
      <c r="A422" s="32" t="str">
        <f t="shared" si="42"/>
        <v/>
      </c>
      <c r="B422" s="33" t="str">
        <f t="shared" si="43"/>
        <v/>
      </c>
      <c r="C422" s="33" t="str">
        <f t="shared" si="44"/>
        <v/>
      </c>
      <c r="D422" s="34"/>
      <c r="E422" s="33" t="str">
        <f t="shared" si="45"/>
        <v/>
      </c>
      <c r="F422" s="33" t="str">
        <f t="shared" si="46"/>
        <v/>
      </c>
      <c r="G422" s="35"/>
      <c r="H422" s="35"/>
      <c r="I422" s="33"/>
      <c r="J422" s="33" t="str">
        <f t="shared" si="47"/>
        <v/>
      </c>
      <c r="K422" s="36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8"/>
    </row>
    <row r="423" spans="1:35" x14ac:dyDescent="0.3">
      <c r="A423" s="32" t="str">
        <f t="shared" si="42"/>
        <v/>
      </c>
      <c r="B423" s="33" t="str">
        <f t="shared" si="43"/>
        <v/>
      </c>
      <c r="C423" s="33" t="str">
        <f t="shared" si="44"/>
        <v/>
      </c>
      <c r="D423" s="34"/>
      <c r="E423" s="33" t="str">
        <f t="shared" si="45"/>
        <v/>
      </c>
      <c r="F423" s="33" t="str">
        <f t="shared" si="46"/>
        <v/>
      </c>
      <c r="G423" s="35"/>
      <c r="H423" s="35"/>
      <c r="I423" s="33"/>
      <c r="J423" s="33" t="str">
        <f t="shared" si="47"/>
        <v/>
      </c>
      <c r="K423" s="36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8"/>
    </row>
    <row r="424" spans="1:35" x14ac:dyDescent="0.3">
      <c r="A424" s="32" t="str">
        <f t="shared" si="42"/>
        <v/>
      </c>
      <c r="B424" s="33" t="str">
        <f t="shared" si="43"/>
        <v/>
      </c>
      <c r="C424" s="33" t="str">
        <f t="shared" si="44"/>
        <v/>
      </c>
      <c r="D424" s="34"/>
      <c r="E424" s="33" t="str">
        <f t="shared" si="45"/>
        <v/>
      </c>
      <c r="F424" s="33" t="str">
        <f t="shared" si="46"/>
        <v/>
      </c>
      <c r="G424" s="35"/>
      <c r="H424" s="35"/>
      <c r="I424" s="33"/>
      <c r="J424" s="33" t="str">
        <f t="shared" si="47"/>
        <v/>
      </c>
      <c r="K424" s="36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8"/>
    </row>
    <row r="425" spans="1:35" x14ac:dyDescent="0.3">
      <c r="A425" s="32" t="str">
        <f t="shared" si="42"/>
        <v/>
      </c>
      <c r="B425" s="33" t="str">
        <f t="shared" si="43"/>
        <v/>
      </c>
      <c r="C425" s="33" t="str">
        <f t="shared" si="44"/>
        <v/>
      </c>
      <c r="D425" s="34"/>
      <c r="E425" s="33" t="str">
        <f t="shared" si="45"/>
        <v/>
      </c>
      <c r="F425" s="33" t="str">
        <f t="shared" si="46"/>
        <v/>
      </c>
      <c r="G425" s="35"/>
      <c r="H425" s="35"/>
      <c r="I425" s="33"/>
      <c r="J425" s="33" t="str">
        <f t="shared" si="47"/>
        <v/>
      </c>
      <c r="K425" s="36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8"/>
    </row>
    <row r="426" spans="1:35" x14ac:dyDescent="0.3">
      <c r="A426" s="32" t="str">
        <f t="shared" si="42"/>
        <v/>
      </c>
      <c r="B426" s="33" t="str">
        <f t="shared" si="43"/>
        <v/>
      </c>
      <c r="C426" s="33" t="str">
        <f t="shared" si="44"/>
        <v/>
      </c>
      <c r="D426" s="34"/>
      <c r="E426" s="33" t="str">
        <f t="shared" si="45"/>
        <v/>
      </c>
      <c r="F426" s="33" t="str">
        <f t="shared" si="46"/>
        <v/>
      </c>
      <c r="G426" s="35"/>
      <c r="H426" s="35"/>
      <c r="I426" s="33"/>
      <c r="J426" s="33" t="str">
        <f t="shared" si="47"/>
        <v/>
      </c>
      <c r="K426" s="36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8"/>
    </row>
    <row r="427" spans="1:35" x14ac:dyDescent="0.3">
      <c r="A427" s="32" t="str">
        <f t="shared" si="42"/>
        <v/>
      </c>
      <c r="B427" s="33" t="str">
        <f t="shared" si="43"/>
        <v/>
      </c>
      <c r="C427" s="33" t="str">
        <f t="shared" si="44"/>
        <v/>
      </c>
      <c r="D427" s="34"/>
      <c r="E427" s="33" t="str">
        <f t="shared" si="45"/>
        <v/>
      </c>
      <c r="F427" s="33" t="str">
        <f t="shared" si="46"/>
        <v/>
      </c>
      <c r="G427" s="35"/>
      <c r="H427" s="35"/>
      <c r="I427" s="33"/>
      <c r="J427" s="33" t="str">
        <f t="shared" si="47"/>
        <v/>
      </c>
      <c r="K427" s="36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8"/>
    </row>
    <row r="428" spans="1:35" x14ac:dyDescent="0.3">
      <c r="A428" s="32" t="str">
        <f t="shared" si="42"/>
        <v/>
      </c>
      <c r="B428" s="33" t="str">
        <f t="shared" si="43"/>
        <v/>
      </c>
      <c r="C428" s="33" t="str">
        <f t="shared" si="44"/>
        <v/>
      </c>
      <c r="D428" s="34"/>
      <c r="E428" s="33" t="str">
        <f t="shared" si="45"/>
        <v/>
      </c>
      <c r="F428" s="33" t="str">
        <f t="shared" si="46"/>
        <v/>
      </c>
      <c r="G428" s="35"/>
      <c r="H428" s="35"/>
      <c r="I428" s="33"/>
      <c r="J428" s="33" t="str">
        <f t="shared" si="47"/>
        <v/>
      </c>
      <c r="K428" s="36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8"/>
    </row>
    <row r="429" spans="1:35" x14ac:dyDescent="0.3">
      <c r="A429" s="32" t="str">
        <f t="shared" si="42"/>
        <v/>
      </c>
      <c r="B429" s="33" t="str">
        <f t="shared" si="43"/>
        <v/>
      </c>
      <c r="C429" s="33" t="str">
        <f t="shared" si="44"/>
        <v/>
      </c>
      <c r="D429" s="34"/>
      <c r="E429" s="33" t="str">
        <f t="shared" si="45"/>
        <v/>
      </c>
      <c r="F429" s="33" t="str">
        <f t="shared" si="46"/>
        <v/>
      </c>
      <c r="G429" s="35"/>
      <c r="H429" s="35"/>
      <c r="I429" s="33"/>
      <c r="J429" s="33" t="str">
        <f t="shared" si="47"/>
        <v/>
      </c>
      <c r="K429" s="36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8"/>
    </row>
    <row r="430" spans="1:35" x14ac:dyDescent="0.3">
      <c r="A430" s="32" t="str">
        <f t="shared" si="42"/>
        <v/>
      </c>
      <c r="B430" s="33" t="str">
        <f t="shared" si="43"/>
        <v/>
      </c>
      <c r="C430" s="33" t="str">
        <f t="shared" si="44"/>
        <v/>
      </c>
      <c r="D430" s="34"/>
      <c r="E430" s="33" t="str">
        <f t="shared" si="45"/>
        <v/>
      </c>
      <c r="F430" s="33" t="str">
        <f t="shared" si="46"/>
        <v/>
      </c>
      <c r="G430" s="35"/>
      <c r="H430" s="35"/>
      <c r="I430" s="33"/>
      <c r="J430" s="33" t="str">
        <f t="shared" si="47"/>
        <v/>
      </c>
      <c r="K430" s="36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8"/>
    </row>
    <row r="431" spans="1:35" x14ac:dyDescent="0.3">
      <c r="A431" s="32" t="str">
        <f t="shared" si="42"/>
        <v/>
      </c>
      <c r="B431" s="33" t="str">
        <f t="shared" si="43"/>
        <v/>
      </c>
      <c r="C431" s="33" t="str">
        <f t="shared" si="44"/>
        <v/>
      </c>
      <c r="D431" s="34"/>
      <c r="E431" s="33" t="str">
        <f t="shared" si="45"/>
        <v/>
      </c>
      <c r="F431" s="33" t="str">
        <f t="shared" si="46"/>
        <v/>
      </c>
      <c r="G431" s="35"/>
      <c r="H431" s="35"/>
      <c r="I431" s="33"/>
      <c r="J431" s="33" t="str">
        <f t="shared" si="47"/>
        <v/>
      </c>
      <c r="K431" s="36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8"/>
    </row>
    <row r="432" spans="1:35" x14ac:dyDescent="0.3">
      <c r="A432" s="32" t="str">
        <f t="shared" si="42"/>
        <v/>
      </c>
      <c r="B432" s="33" t="str">
        <f t="shared" si="43"/>
        <v/>
      </c>
      <c r="C432" s="33" t="str">
        <f t="shared" si="44"/>
        <v/>
      </c>
      <c r="D432" s="34"/>
      <c r="E432" s="33" t="str">
        <f t="shared" si="45"/>
        <v/>
      </c>
      <c r="F432" s="33" t="str">
        <f t="shared" si="46"/>
        <v/>
      </c>
      <c r="G432" s="35"/>
      <c r="H432" s="35"/>
      <c r="I432" s="33"/>
      <c r="J432" s="33" t="str">
        <f t="shared" si="47"/>
        <v/>
      </c>
      <c r="K432" s="36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8"/>
    </row>
    <row r="433" spans="1:35" x14ac:dyDescent="0.3">
      <c r="A433" s="32" t="str">
        <f t="shared" si="42"/>
        <v/>
      </c>
      <c r="B433" s="33" t="str">
        <f t="shared" si="43"/>
        <v/>
      </c>
      <c r="C433" s="33" t="str">
        <f t="shared" si="44"/>
        <v/>
      </c>
      <c r="D433" s="34"/>
      <c r="E433" s="33" t="str">
        <f t="shared" si="45"/>
        <v/>
      </c>
      <c r="F433" s="33" t="str">
        <f t="shared" si="46"/>
        <v/>
      </c>
      <c r="G433" s="35"/>
      <c r="H433" s="35"/>
      <c r="I433" s="33"/>
      <c r="J433" s="33" t="str">
        <f t="shared" si="47"/>
        <v/>
      </c>
      <c r="K433" s="36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8"/>
    </row>
    <row r="434" spans="1:35" x14ac:dyDescent="0.3">
      <c r="A434" s="32" t="str">
        <f t="shared" si="42"/>
        <v/>
      </c>
      <c r="B434" s="33" t="str">
        <f t="shared" si="43"/>
        <v/>
      </c>
      <c r="C434" s="33" t="str">
        <f t="shared" si="44"/>
        <v/>
      </c>
      <c r="D434" s="34"/>
      <c r="E434" s="33" t="str">
        <f t="shared" si="45"/>
        <v/>
      </c>
      <c r="F434" s="33" t="str">
        <f t="shared" si="46"/>
        <v/>
      </c>
      <c r="G434" s="35"/>
      <c r="H434" s="35"/>
      <c r="I434" s="33"/>
      <c r="J434" s="33" t="str">
        <f t="shared" si="47"/>
        <v/>
      </c>
      <c r="K434" s="36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8"/>
    </row>
    <row r="435" spans="1:35" x14ac:dyDescent="0.3">
      <c r="A435" s="32" t="str">
        <f t="shared" si="42"/>
        <v/>
      </c>
      <c r="B435" s="33" t="str">
        <f t="shared" si="43"/>
        <v/>
      </c>
      <c r="C435" s="33" t="str">
        <f t="shared" si="44"/>
        <v/>
      </c>
      <c r="D435" s="34"/>
      <c r="E435" s="33" t="str">
        <f t="shared" si="45"/>
        <v/>
      </c>
      <c r="F435" s="33" t="str">
        <f t="shared" si="46"/>
        <v/>
      </c>
      <c r="G435" s="35"/>
      <c r="H435" s="35"/>
      <c r="I435" s="33"/>
      <c r="J435" s="33" t="str">
        <f t="shared" si="47"/>
        <v/>
      </c>
      <c r="K435" s="36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8"/>
    </row>
    <row r="436" spans="1:35" x14ac:dyDescent="0.3">
      <c r="A436" s="32" t="str">
        <f t="shared" si="42"/>
        <v/>
      </c>
      <c r="B436" s="33" t="str">
        <f t="shared" si="43"/>
        <v/>
      </c>
      <c r="C436" s="33" t="str">
        <f t="shared" si="44"/>
        <v/>
      </c>
      <c r="D436" s="34"/>
      <c r="E436" s="33" t="str">
        <f t="shared" si="45"/>
        <v/>
      </c>
      <c r="F436" s="33" t="str">
        <f t="shared" si="46"/>
        <v/>
      </c>
      <c r="G436" s="35"/>
      <c r="H436" s="35"/>
      <c r="I436" s="33"/>
      <c r="J436" s="33" t="str">
        <f t="shared" si="47"/>
        <v/>
      </c>
      <c r="K436" s="36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8"/>
    </row>
    <row r="437" spans="1:35" x14ac:dyDescent="0.3">
      <c r="A437" s="32" t="str">
        <f t="shared" si="42"/>
        <v/>
      </c>
      <c r="B437" s="33" t="str">
        <f t="shared" si="43"/>
        <v/>
      </c>
      <c r="C437" s="33" t="str">
        <f t="shared" si="44"/>
        <v/>
      </c>
      <c r="D437" s="34"/>
      <c r="E437" s="33" t="str">
        <f t="shared" si="45"/>
        <v/>
      </c>
      <c r="F437" s="33" t="str">
        <f t="shared" si="46"/>
        <v/>
      </c>
      <c r="G437" s="35"/>
      <c r="H437" s="35"/>
      <c r="I437" s="33"/>
      <c r="J437" s="33" t="str">
        <f t="shared" si="47"/>
        <v/>
      </c>
      <c r="K437" s="36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8"/>
    </row>
    <row r="438" spans="1:35" x14ac:dyDescent="0.3">
      <c r="A438" s="32" t="str">
        <f t="shared" si="42"/>
        <v/>
      </c>
      <c r="B438" s="33" t="str">
        <f t="shared" si="43"/>
        <v/>
      </c>
      <c r="C438" s="33" t="str">
        <f t="shared" si="44"/>
        <v/>
      </c>
      <c r="D438" s="34"/>
      <c r="E438" s="33" t="str">
        <f t="shared" si="45"/>
        <v/>
      </c>
      <c r="F438" s="33" t="str">
        <f t="shared" si="46"/>
        <v/>
      </c>
      <c r="G438" s="35"/>
      <c r="H438" s="35"/>
      <c r="I438" s="33"/>
      <c r="J438" s="33" t="str">
        <f t="shared" si="47"/>
        <v/>
      </c>
      <c r="K438" s="36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8"/>
    </row>
    <row r="439" spans="1:35" x14ac:dyDescent="0.3">
      <c r="A439" s="32" t="str">
        <f t="shared" si="42"/>
        <v/>
      </c>
      <c r="B439" s="33" t="str">
        <f t="shared" si="43"/>
        <v/>
      </c>
      <c r="C439" s="33" t="str">
        <f t="shared" si="44"/>
        <v/>
      </c>
      <c r="D439" s="34"/>
      <c r="E439" s="33" t="str">
        <f t="shared" si="45"/>
        <v/>
      </c>
      <c r="F439" s="33" t="str">
        <f t="shared" si="46"/>
        <v/>
      </c>
      <c r="G439" s="35"/>
      <c r="H439" s="35"/>
      <c r="I439" s="33"/>
      <c r="J439" s="33" t="str">
        <f t="shared" si="47"/>
        <v/>
      </c>
      <c r="K439" s="36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8"/>
    </row>
    <row r="440" spans="1:35" x14ac:dyDescent="0.3">
      <c r="A440" s="32" t="str">
        <f t="shared" si="42"/>
        <v/>
      </c>
      <c r="B440" s="33" t="str">
        <f t="shared" si="43"/>
        <v/>
      </c>
      <c r="C440" s="33" t="str">
        <f t="shared" si="44"/>
        <v/>
      </c>
      <c r="D440" s="34"/>
      <c r="E440" s="33" t="str">
        <f t="shared" si="45"/>
        <v/>
      </c>
      <c r="F440" s="33" t="str">
        <f t="shared" si="46"/>
        <v/>
      </c>
      <c r="G440" s="35"/>
      <c r="H440" s="35"/>
      <c r="I440" s="33"/>
      <c r="J440" s="33" t="str">
        <f t="shared" si="47"/>
        <v/>
      </c>
      <c r="K440" s="36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8"/>
    </row>
    <row r="441" spans="1:35" x14ac:dyDescent="0.3">
      <c r="A441" s="32" t="str">
        <f t="shared" si="42"/>
        <v/>
      </c>
      <c r="B441" s="33" t="str">
        <f t="shared" si="43"/>
        <v/>
      </c>
      <c r="C441" s="33" t="str">
        <f t="shared" si="44"/>
        <v/>
      </c>
      <c r="D441" s="34"/>
      <c r="E441" s="33" t="str">
        <f t="shared" si="45"/>
        <v/>
      </c>
      <c r="F441" s="33" t="str">
        <f t="shared" si="46"/>
        <v/>
      </c>
      <c r="G441" s="35"/>
      <c r="H441" s="35"/>
      <c r="I441" s="33"/>
      <c r="J441" s="33" t="str">
        <f t="shared" si="47"/>
        <v/>
      </c>
      <c r="K441" s="36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8"/>
    </row>
    <row r="442" spans="1:35" x14ac:dyDescent="0.3">
      <c r="A442" s="32" t="str">
        <f t="shared" si="42"/>
        <v/>
      </c>
      <c r="B442" s="33" t="str">
        <f t="shared" si="43"/>
        <v/>
      </c>
      <c r="C442" s="33" t="str">
        <f t="shared" si="44"/>
        <v/>
      </c>
      <c r="D442" s="34"/>
      <c r="E442" s="33" t="str">
        <f t="shared" si="45"/>
        <v/>
      </c>
      <c r="F442" s="33" t="str">
        <f t="shared" si="46"/>
        <v/>
      </c>
      <c r="G442" s="35"/>
      <c r="H442" s="35"/>
      <c r="I442" s="33"/>
      <c r="J442" s="33" t="str">
        <f t="shared" si="47"/>
        <v/>
      </c>
      <c r="K442" s="36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8"/>
    </row>
    <row r="443" spans="1:35" x14ac:dyDescent="0.3">
      <c r="A443" s="32" t="str">
        <f t="shared" si="42"/>
        <v/>
      </c>
      <c r="B443" s="33" t="str">
        <f t="shared" si="43"/>
        <v/>
      </c>
      <c r="C443" s="33" t="str">
        <f t="shared" si="44"/>
        <v/>
      </c>
      <c r="D443" s="34"/>
      <c r="E443" s="33" t="str">
        <f t="shared" si="45"/>
        <v/>
      </c>
      <c r="F443" s="33" t="str">
        <f t="shared" si="46"/>
        <v/>
      </c>
      <c r="G443" s="35"/>
      <c r="H443" s="35"/>
      <c r="I443" s="33"/>
      <c r="J443" s="33" t="str">
        <f t="shared" si="47"/>
        <v/>
      </c>
      <c r="K443" s="36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8"/>
    </row>
    <row r="444" spans="1:35" x14ac:dyDescent="0.3">
      <c r="A444" s="32" t="str">
        <f t="shared" si="42"/>
        <v/>
      </c>
      <c r="B444" s="33" t="str">
        <f t="shared" si="43"/>
        <v/>
      </c>
      <c r="C444" s="33" t="str">
        <f t="shared" si="44"/>
        <v/>
      </c>
      <c r="D444" s="34"/>
      <c r="E444" s="33" t="str">
        <f t="shared" si="45"/>
        <v/>
      </c>
      <c r="F444" s="33" t="str">
        <f t="shared" si="46"/>
        <v/>
      </c>
      <c r="G444" s="35"/>
      <c r="H444" s="35"/>
      <c r="I444" s="33"/>
      <c r="J444" s="33" t="str">
        <f t="shared" si="47"/>
        <v/>
      </c>
      <c r="K444" s="36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8"/>
    </row>
    <row r="445" spans="1:35" x14ac:dyDescent="0.3">
      <c r="A445" s="32" t="str">
        <f t="shared" si="42"/>
        <v/>
      </c>
      <c r="B445" s="33" t="str">
        <f t="shared" si="43"/>
        <v/>
      </c>
      <c r="C445" s="33" t="str">
        <f t="shared" si="44"/>
        <v/>
      </c>
      <c r="D445" s="34"/>
      <c r="E445" s="33" t="str">
        <f t="shared" si="45"/>
        <v/>
      </c>
      <c r="F445" s="33" t="str">
        <f t="shared" si="46"/>
        <v/>
      </c>
      <c r="G445" s="35"/>
      <c r="H445" s="35"/>
      <c r="I445" s="33"/>
      <c r="J445" s="33" t="str">
        <f t="shared" si="47"/>
        <v/>
      </c>
      <c r="K445" s="36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8"/>
    </row>
    <row r="446" spans="1:35" x14ac:dyDescent="0.3">
      <c r="A446" s="32" t="str">
        <f t="shared" si="42"/>
        <v/>
      </c>
      <c r="B446" s="33" t="str">
        <f t="shared" si="43"/>
        <v/>
      </c>
      <c r="C446" s="33" t="str">
        <f t="shared" si="44"/>
        <v/>
      </c>
      <c r="D446" s="34"/>
      <c r="E446" s="33" t="str">
        <f t="shared" si="45"/>
        <v/>
      </c>
      <c r="F446" s="33" t="str">
        <f t="shared" si="46"/>
        <v/>
      </c>
      <c r="G446" s="35"/>
      <c r="H446" s="35"/>
      <c r="I446" s="33"/>
      <c r="J446" s="33" t="str">
        <f t="shared" si="47"/>
        <v/>
      </c>
      <c r="K446" s="36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8"/>
    </row>
    <row r="447" spans="1:35" x14ac:dyDescent="0.3">
      <c r="A447" s="32" t="str">
        <f t="shared" si="42"/>
        <v/>
      </c>
      <c r="B447" s="33" t="str">
        <f t="shared" si="43"/>
        <v/>
      </c>
      <c r="C447" s="33" t="str">
        <f t="shared" si="44"/>
        <v/>
      </c>
      <c r="D447" s="34"/>
      <c r="E447" s="33" t="str">
        <f t="shared" si="45"/>
        <v/>
      </c>
      <c r="F447" s="33" t="str">
        <f t="shared" si="46"/>
        <v/>
      </c>
      <c r="G447" s="35"/>
      <c r="H447" s="35"/>
      <c r="I447" s="33"/>
      <c r="J447" s="33" t="str">
        <f t="shared" si="47"/>
        <v/>
      </c>
      <c r="K447" s="36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8"/>
    </row>
    <row r="448" spans="1:35" x14ac:dyDescent="0.3">
      <c r="A448" s="32" t="str">
        <f t="shared" si="42"/>
        <v/>
      </c>
      <c r="B448" s="33" t="str">
        <f t="shared" si="43"/>
        <v/>
      </c>
      <c r="C448" s="33" t="str">
        <f t="shared" si="44"/>
        <v/>
      </c>
      <c r="D448" s="34"/>
      <c r="E448" s="33" t="str">
        <f t="shared" si="45"/>
        <v/>
      </c>
      <c r="F448" s="33" t="str">
        <f t="shared" si="46"/>
        <v/>
      </c>
      <c r="G448" s="35"/>
      <c r="H448" s="35"/>
      <c r="I448" s="33"/>
      <c r="J448" s="33" t="str">
        <f t="shared" si="47"/>
        <v/>
      </c>
      <c r="K448" s="36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8"/>
    </row>
    <row r="449" spans="1:35" x14ac:dyDescent="0.3">
      <c r="A449" s="32" t="str">
        <f t="shared" si="42"/>
        <v/>
      </c>
      <c r="B449" s="33" t="str">
        <f t="shared" si="43"/>
        <v/>
      </c>
      <c r="C449" s="33" t="str">
        <f t="shared" si="44"/>
        <v/>
      </c>
      <c r="D449" s="34"/>
      <c r="E449" s="33" t="str">
        <f t="shared" si="45"/>
        <v/>
      </c>
      <c r="F449" s="33" t="str">
        <f t="shared" si="46"/>
        <v/>
      </c>
      <c r="G449" s="35"/>
      <c r="H449" s="35"/>
      <c r="I449" s="33"/>
      <c r="J449" s="33" t="str">
        <f t="shared" si="47"/>
        <v/>
      </c>
      <c r="K449" s="36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8"/>
    </row>
    <row r="450" spans="1:35" x14ac:dyDescent="0.3">
      <c r="A450" s="32" t="str">
        <f t="shared" si="42"/>
        <v/>
      </c>
      <c r="B450" s="33" t="str">
        <f t="shared" si="43"/>
        <v/>
      </c>
      <c r="C450" s="33" t="str">
        <f t="shared" si="44"/>
        <v/>
      </c>
      <c r="D450" s="34"/>
      <c r="E450" s="33" t="str">
        <f t="shared" si="45"/>
        <v/>
      </c>
      <c r="F450" s="33" t="str">
        <f t="shared" si="46"/>
        <v/>
      </c>
      <c r="G450" s="35"/>
      <c r="H450" s="35"/>
      <c r="I450" s="33"/>
      <c r="J450" s="33" t="str">
        <f t="shared" si="47"/>
        <v/>
      </c>
      <c r="K450" s="36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8"/>
    </row>
    <row r="451" spans="1:35" x14ac:dyDescent="0.3">
      <c r="A451" s="32" t="str">
        <f t="shared" si="42"/>
        <v/>
      </c>
      <c r="B451" s="33" t="str">
        <f t="shared" si="43"/>
        <v/>
      </c>
      <c r="C451" s="33" t="str">
        <f t="shared" si="44"/>
        <v/>
      </c>
      <c r="D451" s="34"/>
      <c r="E451" s="33" t="str">
        <f t="shared" si="45"/>
        <v/>
      </c>
      <c r="F451" s="33" t="str">
        <f t="shared" si="46"/>
        <v/>
      </c>
      <c r="G451" s="35"/>
      <c r="H451" s="35"/>
      <c r="I451" s="33"/>
      <c r="J451" s="33" t="str">
        <f t="shared" si="47"/>
        <v/>
      </c>
      <c r="K451" s="36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8"/>
    </row>
    <row r="452" spans="1:35" x14ac:dyDescent="0.3">
      <c r="A452" s="32" t="str">
        <f t="shared" si="42"/>
        <v/>
      </c>
      <c r="B452" s="33" t="str">
        <f t="shared" si="43"/>
        <v/>
      </c>
      <c r="C452" s="33" t="str">
        <f t="shared" si="44"/>
        <v/>
      </c>
      <c r="D452" s="34"/>
      <c r="E452" s="33" t="str">
        <f t="shared" si="45"/>
        <v/>
      </c>
      <c r="F452" s="33" t="str">
        <f t="shared" si="46"/>
        <v/>
      </c>
      <c r="G452" s="35"/>
      <c r="H452" s="35"/>
      <c r="I452" s="33"/>
      <c r="J452" s="33" t="str">
        <f t="shared" si="47"/>
        <v/>
      </c>
      <c r="K452" s="36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8"/>
    </row>
    <row r="453" spans="1:35" x14ac:dyDescent="0.3">
      <c r="A453" s="32" t="str">
        <f t="shared" si="42"/>
        <v/>
      </c>
      <c r="B453" s="33" t="str">
        <f t="shared" si="43"/>
        <v/>
      </c>
      <c r="C453" s="33" t="str">
        <f t="shared" si="44"/>
        <v/>
      </c>
      <c r="D453" s="34"/>
      <c r="E453" s="33" t="str">
        <f t="shared" si="45"/>
        <v/>
      </c>
      <c r="F453" s="33" t="str">
        <f t="shared" si="46"/>
        <v/>
      </c>
      <c r="G453" s="35"/>
      <c r="H453" s="35"/>
      <c r="I453" s="33"/>
      <c r="J453" s="33" t="str">
        <f t="shared" si="47"/>
        <v/>
      </c>
      <c r="K453" s="36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8"/>
    </row>
    <row r="454" spans="1:35" x14ac:dyDescent="0.3">
      <c r="A454" s="32" t="str">
        <f t="shared" si="42"/>
        <v/>
      </c>
      <c r="B454" s="33" t="str">
        <f t="shared" si="43"/>
        <v/>
      </c>
      <c r="C454" s="33" t="str">
        <f t="shared" si="44"/>
        <v/>
      </c>
      <c r="D454" s="34"/>
      <c r="E454" s="33" t="str">
        <f t="shared" si="45"/>
        <v/>
      </c>
      <c r="F454" s="33" t="str">
        <f t="shared" si="46"/>
        <v/>
      </c>
      <c r="G454" s="35"/>
      <c r="H454" s="35"/>
      <c r="I454" s="33"/>
      <c r="J454" s="33" t="str">
        <f t="shared" si="47"/>
        <v/>
      </c>
      <c r="K454" s="36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8"/>
    </row>
    <row r="455" spans="1:35" x14ac:dyDescent="0.3">
      <c r="A455" s="32" t="str">
        <f t="shared" si="42"/>
        <v/>
      </c>
      <c r="B455" s="33" t="str">
        <f t="shared" si="43"/>
        <v/>
      </c>
      <c r="C455" s="33" t="str">
        <f t="shared" si="44"/>
        <v/>
      </c>
      <c r="D455" s="34"/>
      <c r="E455" s="33" t="str">
        <f t="shared" si="45"/>
        <v/>
      </c>
      <c r="F455" s="33" t="str">
        <f t="shared" si="46"/>
        <v/>
      </c>
      <c r="G455" s="35"/>
      <c r="H455" s="35"/>
      <c r="I455" s="33"/>
      <c r="J455" s="33" t="str">
        <f t="shared" si="47"/>
        <v/>
      </c>
      <c r="K455" s="36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8"/>
    </row>
    <row r="456" spans="1:35" x14ac:dyDescent="0.3">
      <c r="A456" s="32" t="str">
        <f t="shared" si="42"/>
        <v/>
      </c>
      <c r="B456" s="33" t="str">
        <f t="shared" si="43"/>
        <v/>
      </c>
      <c r="C456" s="33" t="str">
        <f t="shared" si="44"/>
        <v/>
      </c>
      <c r="D456" s="34"/>
      <c r="E456" s="33" t="str">
        <f t="shared" si="45"/>
        <v/>
      </c>
      <c r="F456" s="33" t="str">
        <f t="shared" si="46"/>
        <v/>
      </c>
      <c r="G456" s="35"/>
      <c r="H456" s="35"/>
      <c r="I456" s="33"/>
      <c r="J456" s="33" t="str">
        <f t="shared" si="47"/>
        <v/>
      </c>
      <c r="K456" s="36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8"/>
    </row>
    <row r="457" spans="1:35" x14ac:dyDescent="0.3">
      <c r="A457" s="32" t="str">
        <f t="shared" si="42"/>
        <v/>
      </c>
      <c r="B457" s="33" t="str">
        <f t="shared" si="43"/>
        <v/>
      </c>
      <c r="C457" s="33" t="str">
        <f t="shared" si="44"/>
        <v/>
      </c>
      <c r="D457" s="34"/>
      <c r="E457" s="33" t="str">
        <f t="shared" si="45"/>
        <v/>
      </c>
      <c r="F457" s="33" t="str">
        <f t="shared" si="46"/>
        <v/>
      </c>
      <c r="G457" s="35"/>
      <c r="H457" s="35"/>
      <c r="I457" s="33"/>
      <c r="J457" s="33" t="str">
        <f t="shared" si="47"/>
        <v/>
      </c>
      <c r="K457" s="36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8"/>
    </row>
    <row r="458" spans="1:35" x14ac:dyDescent="0.3">
      <c r="A458" s="32" t="str">
        <f t="shared" si="42"/>
        <v/>
      </c>
      <c r="B458" s="33" t="str">
        <f t="shared" si="43"/>
        <v/>
      </c>
      <c r="C458" s="33" t="str">
        <f t="shared" si="44"/>
        <v/>
      </c>
      <c r="D458" s="34"/>
      <c r="E458" s="33" t="str">
        <f t="shared" si="45"/>
        <v/>
      </c>
      <c r="F458" s="33" t="str">
        <f t="shared" si="46"/>
        <v/>
      </c>
      <c r="G458" s="35"/>
      <c r="H458" s="35"/>
      <c r="I458" s="33"/>
      <c r="J458" s="33" t="str">
        <f t="shared" si="47"/>
        <v/>
      </c>
      <c r="K458" s="36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8"/>
    </row>
    <row r="459" spans="1:35" x14ac:dyDescent="0.3">
      <c r="A459" s="32" t="str">
        <f t="shared" si="42"/>
        <v/>
      </c>
      <c r="B459" s="33" t="str">
        <f t="shared" si="43"/>
        <v/>
      </c>
      <c r="C459" s="33" t="str">
        <f t="shared" si="44"/>
        <v/>
      </c>
      <c r="D459" s="34"/>
      <c r="E459" s="33" t="str">
        <f t="shared" si="45"/>
        <v/>
      </c>
      <c r="F459" s="33" t="str">
        <f t="shared" si="46"/>
        <v/>
      </c>
      <c r="G459" s="35"/>
      <c r="H459" s="35"/>
      <c r="I459" s="33"/>
      <c r="J459" s="33" t="str">
        <f t="shared" si="47"/>
        <v/>
      </c>
      <c r="K459" s="36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8"/>
    </row>
    <row r="460" spans="1:35" x14ac:dyDescent="0.3">
      <c r="A460" s="32" t="str">
        <f t="shared" si="42"/>
        <v/>
      </c>
      <c r="B460" s="33" t="str">
        <f t="shared" si="43"/>
        <v/>
      </c>
      <c r="C460" s="33" t="str">
        <f t="shared" si="44"/>
        <v/>
      </c>
      <c r="D460" s="34"/>
      <c r="E460" s="33" t="str">
        <f t="shared" si="45"/>
        <v/>
      </c>
      <c r="F460" s="33" t="str">
        <f t="shared" si="46"/>
        <v/>
      </c>
      <c r="G460" s="35"/>
      <c r="H460" s="35"/>
      <c r="I460" s="33"/>
      <c r="J460" s="33" t="str">
        <f t="shared" si="47"/>
        <v/>
      </c>
      <c r="K460" s="36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8"/>
    </row>
    <row r="461" spans="1:35" x14ac:dyDescent="0.3">
      <c r="A461" s="32" t="str">
        <f t="shared" si="42"/>
        <v/>
      </c>
      <c r="B461" s="33" t="str">
        <f t="shared" si="43"/>
        <v/>
      </c>
      <c r="C461" s="33" t="str">
        <f t="shared" si="44"/>
        <v/>
      </c>
      <c r="D461" s="34"/>
      <c r="E461" s="33" t="str">
        <f t="shared" si="45"/>
        <v/>
      </c>
      <c r="F461" s="33" t="str">
        <f t="shared" si="46"/>
        <v/>
      </c>
      <c r="G461" s="35"/>
      <c r="H461" s="35"/>
      <c r="I461" s="33"/>
      <c r="J461" s="33" t="str">
        <f t="shared" si="47"/>
        <v/>
      </c>
      <c r="K461" s="36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8"/>
    </row>
    <row r="462" spans="1:35" x14ac:dyDescent="0.3">
      <c r="A462" s="32" t="str">
        <f t="shared" si="42"/>
        <v/>
      </c>
      <c r="B462" s="33" t="str">
        <f t="shared" si="43"/>
        <v/>
      </c>
      <c r="C462" s="33" t="str">
        <f t="shared" si="44"/>
        <v/>
      </c>
      <c r="D462" s="34"/>
      <c r="E462" s="33" t="str">
        <f t="shared" si="45"/>
        <v/>
      </c>
      <c r="F462" s="33" t="str">
        <f t="shared" si="46"/>
        <v/>
      </c>
      <c r="G462" s="35"/>
      <c r="H462" s="35"/>
      <c r="I462" s="33"/>
      <c r="J462" s="33" t="str">
        <f t="shared" si="47"/>
        <v/>
      </c>
      <c r="K462" s="36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8"/>
    </row>
    <row r="463" spans="1:35" x14ac:dyDescent="0.3">
      <c r="A463" s="32" t="str">
        <f t="shared" si="42"/>
        <v/>
      </c>
      <c r="B463" s="33" t="str">
        <f t="shared" si="43"/>
        <v/>
      </c>
      <c r="C463" s="33" t="str">
        <f t="shared" si="44"/>
        <v/>
      </c>
      <c r="D463" s="34"/>
      <c r="E463" s="33" t="str">
        <f t="shared" si="45"/>
        <v/>
      </c>
      <c r="F463" s="33" t="str">
        <f t="shared" si="46"/>
        <v/>
      </c>
      <c r="G463" s="35"/>
      <c r="H463" s="35"/>
      <c r="I463" s="33"/>
      <c r="J463" s="33" t="str">
        <f t="shared" si="47"/>
        <v/>
      </c>
      <c r="K463" s="36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8"/>
    </row>
    <row r="464" spans="1:35" x14ac:dyDescent="0.3">
      <c r="A464" s="32" t="str">
        <f t="shared" si="42"/>
        <v/>
      </c>
      <c r="B464" s="33" t="str">
        <f t="shared" si="43"/>
        <v/>
      </c>
      <c r="C464" s="33" t="str">
        <f t="shared" si="44"/>
        <v/>
      </c>
      <c r="D464" s="34"/>
      <c r="E464" s="33" t="str">
        <f t="shared" si="45"/>
        <v/>
      </c>
      <c r="F464" s="33" t="str">
        <f t="shared" si="46"/>
        <v/>
      </c>
      <c r="G464" s="35"/>
      <c r="H464" s="35"/>
      <c r="I464" s="33"/>
      <c r="J464" s="33" t="str">
        <f t="shared" si="47"/>
        <v/>
      </c>
      <c r="K464" s="36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8"/>
    </row>
    <row r="465" spans="1:35" x14ac:dyDescent="0.3">
      <c r="A465" s="32" t="str">
        <f t="shared" ref="A465:A528" si="48">IF($K465="", "", ROW()-15)</f>
        <v/>
      </c>
      <c r="B465" s="33" t="str">
        <f t="shared" ref="B465:B528" si="49">IFERROR(IF(ISNUMBER(SEARCH("Q", $K465)), "Q", MID(RIGHT($J465, 4), 1, 1)), "")</f>
        <v/>
      </c>
      <c r="C465" s="33" t="str">
        <f t="shared" ref="C465:C528" si="50">IFERROR(IF(ISNUMBER(SEARCH("Q", $K465)), LEFT($K465, LEN($K465)-15), LEFT($K465, LEN($K465)-8)), "")</f>
        <v/>
      </c>
      <c r="D465" s="34"/>
      <c r="E465" s="33" t="str">
        <f t="shared" ref="E465:E528" si="51">IFERROR(IF($F465="", "", IF($F465="01", "최초", "추가")), " ")</f>
        <v/>
      </c>
      <c r="F465" s="33" t="str">
        <f t="shared" ref="F465:F528" si="52">IFERROR(IF(ISNUMBER(SEARCH("Q", $K465)), MID(RIGHT($K465, 9), 1, 2), RIGHT($K465, 2)), "")</f>
        <v/>
      </c>
      <c r="G465" s="35"/>
      <c r="H465" s="35"/>
      <c r="I465" s="33"/>
      <c r="J465" s="33" t="str">
        <f t="shared" ref="J465:J528" si="53">IFERROR(IF(ISNUMBER(SEARCH("Q", $K465)), LEFT($K465, LEN($K465)-10), LEFT($K465, LEN($K465)-3)), "")</f>
        <v/>
      </c>
      <c r="K465" s="36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8"/>
    </row>
    <row r="466" spans="1:35" x14ac:dyDescent="0.3">
      <c r="A466" s="32" t="str">
        <f t="shared" si="48"/>
        <v/>
      </c>
      <c r="B466" s="33" t="str">
        <f t="shared" si="49"/>
        <v/>
      </c>
      <c r="C466" s="33" t="str">
        <f t="shared" si="50"/>
        <v/>
      </c>
      <c r="D466" s="34"/>
      <c r="E466" s="33" t="str">
        <f t="shared" si="51"/>
        <v/>
      </c>
      <c r="F466" s="33" t="str">
        <f t="shared" si="52"/>
        <v/>
      </c>
      <c r="G466" s="35"/>
      <c r="H466" s="35"/>
      <c r="I466" s="33"/>
      <c r="J466" s="33" t="str">
        <f t="shared" si="53"/>
        <v/>
      </c>
      <c r="K466" s="36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8"/>
    </row>
    <row r="467" spans="1:35" x14ac:dyDescent="0.3">
      <c r="A467" s="32" t="str">
        <f t="shared" si="48"/>
        <v/>
      </c>
      <c r="B467" s="33" t="str">
        <f t="shared" si="49"/>
        <v/>
      </c>
      <c r="C467" s="33" t="str">
        <f t="shared" si="50"/>
        <v/>
      </c>
      <c r="D467" s="34"/>
      <c r="E467" s="33" t="str">
        <f t="shared" si="51"/>
        <v/>
      </c>
      <c r="F467" s="33" t="str">
        <f t="shared" si="52"/>
        <v/>
      </c>
      <c r="G467" s="35"/>
      <c r="H467" s="35"/>
      <c r="I467" s="33"/>
      <c r="J467" s="33" t="str">
        <f t="shared" si="53"/>
        <v/>
      </c>
      <c r="K467" s="36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8"/>
    </row>
    <row r="468" spans="1:35" x14ac:dyDescent="0.3">
      <c r="A468" s="32" t="str">
        <f t="shared" si="48"/>
        <v/>
      </c>
      <c r="B468" s="33" t="str">
        <f t="shared" si="49"/>
        <v/>
      </c>
      <c r="C468" s="33" t="str">
        <f t="shared" si="50"/>
        <v/>
      </c>
      <c r="D468" s="34"/>
      <c r="E468" s="33" t="str">
        <f t="shared" si="51"/>
        <v/>
      </c>
      <c r="F468" s="33" t="str">
        <f t="shared" si="52"/>
        <v/>
      </c>
      <c r="G468" s="35"/>
      <c r="H468" s="35"/>
      <c r="I468" s="33"/>
      <c r="J468" s="33" t="str">
        <f t="shared" si="53"/>
        <v/>
      </c>
      <c r="K468" s="36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8"/>
    </row>
    <row r="469" spans="1:35" x14ac:dyDescent="0.3">
      <c r="A469" s="32" t="str">
        <f t="shared" si="48"/>
        <v/>
      </c>
      <c r="B469" s="33" t="str">
        <f t="shared" si="49"/>
        <v/>
      </c>
      <c r="C469" s="33" t="str">
        <f t="shared" si="50"/>
        <v/>
      </c>
      <c r="D469" s="34"/>
      <c r="E469" s="33" t="str">
        <f t="shared" si="51"/>
        <v/>
      </c>
      <c r="F469" s="33" t="str">
        <f t="shared" si="52"/>
        <v/>
      </c>
      <c r="G469" s="35"/>
      <c r="H469" s="35"/>
      <c r="I469" s="33"/>
      <c r="J469" s="33" t="str">
        <f t="shared" si="53"/>
        <v/>
      </c>
      <c r="K469" s="36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8"/>
    </row>
    <row r="470" spans="1:35" x14ac:dyDescent="0.3">
      <c r="A470" s="32" t="str">
        <f t="shared" si="48"/>
        <v/>
      </c>
      <c r="B470" s="33" t="str">
        <f t="shared" si="49"/>
        <v/>
      </c>
      <c r="C470" s="33" t="str">
        <f t="shared" si="50"/>
        <v/>
      </c>
      <c r="D470" s="34"/>
      <c r="E470" s="33" t="str">
        <f t="shared" si="51"/>
        <v/>
      </c>
      <c r="F470" s="33" t="str">
        <f t="shared" si="52"/>
        <v/>
      </c>
      <c r="G470" s="35"/>
      <c r="H470" s="35"/>
      <c r="I470" s="33"/>
      <c r="J470" s="33" t="str">
        <f t="shared" si="53"/>
        <v/>
      </c>
      <c r="K470" s="36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8"/>
    </row>
    <row r="471" spans="1:35" x14ac:dyDescent="0.3">
      <c r="A471" s="32" t="str">
        <f t="shared" si="48"/>
        <v/>
      </c>
      <c r="B471" s="33" t="str">
        <f t="shared" si="49"/>
        <v/>
      </c>
      <c r="C471" s="33" t="str">
        <f t="shared" si="50"/>
        <v/>
      </c>
      <c r="D471" s="34"/>
      <c r="E471" s="33" t="str">
        <f t="shared" si="51"/>
        <v/>
      </c>
      <c r="F471" s="33" t="str">
        <f t="shared" si="52"/>
        <v/>
      </c>
      <c r="G471" s="35"/>
      <c r="H471" s="35"/>
      <c r="I471" s="33"/>
      <c r="J471" s="33" t="str">
        <f t="shared" si="53"/>
        <v/>
      </c>
      <c r="K471" s="36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8"/>
    </row>
    <row r="472" spans="1:35" x14ac:dyDescent="0.3">
      <c r="A472" s="32" t="str">
        <f t="shared" si="48"/>
        <v/>
      </c>
      <c r="B472" s="33" t="str">
        <f t="shared" si="49"/>
        <v/>
      </c>
      <c r="C472" s="33" t="str">
        <f t="shared" si="50"/>
        <v/>
      </c>
      <c r="D472" s="34"/>
      <c r="E472" s="33" t="str">
        <f t="shared" si="51"/>
        <v/>
      </c>
      <c r="F472" s="33" t="str">
        <f t="shared" si="52"/>
        <v/>
      </c>
      <c r="G472" s="35"/>
      <c r="H472" s="35"/>
      <c r="I472" s="33"/>
      <c r="J472" s="33" t="str">
        <f t="shared" si="53"/>
        <v/>
      </c>
      <c r="K472" s="36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8"/>
    </row>
    <row r="473" spans="1:35" x14ac:dyDescent="0.3">
      <c r="A473" s="32" t="str">
        <f t="shared" si="48"/>
        <v/>
      </c>
      <c r="B473" s="33" t="str">
        <f t="shared" si="49"/>
        <v/>
      </c>
      <c r="C473" s="33" t="str">
        <f t="shared" si="50"/>
        <v/>
      </c>
      <c r="D473" s="34"/>
      <c r="E473" s="33" t="str">
        <f t="shared" si="51"/>
        <v/>
      </c>
      <c r="F473" s="33" t="str">
        <f t="shared" si="52"/>
        <v/>
      </c>
      <c r="G473" s="35"/>
      <c r="H473" s="35"/>
      <c r="I473" s="33"/>
      <c r="J473" s="33" t="str">
        <f t="shared" si="53"/>
        <v/>
      </c>
      <c r="K473" s="36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8"/>
    </row>
    <row r="474" spans="1:35" x14ac:dyDescent="0.3">
      <c r="A474" s="32" t="str">
        <f t="shared" si="48"/>
        <v/>
      </c>
      <c r="B474" s="33" t="str">
        <f t="shared" si="49"/>
        <v/>
      </c>
      <c r="C474" s="33" t="str">
        <f t="shared" si="50"/>
        <v/>
      </c>
      <c r="D474" s="34"/>
      <c r="E474" s="33" t="str">
        <f t="shared" si="51"/>
        <v/>
      </c>
      <c r="F474" s="33" t="str">
        <f t="shared" si="52"/>
        <v/>
      </c>
      <c r="G474" s="35"/>
      <c r="H474" s="35"/>
      <c r="I474" s="33"/>
      <c r="J474" s="33" t="str">
        <f t="shared" si="53"/>
        <v/>
      </c>
      <c r="K474" s="36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8"/>
    </row>
    <row r="475" spans="1:35" x14ac:dyDescent="0.3">
      <c r="A475" s="32" t="str">
        <f t="shared" si="48"/>
        <v/>
      </c>
      <c r="B475" s="33" t="str">
        <f t="shared" si="49"/>
        <v/>
      </c>
      <c r="C475" s="33" t="str">
        <f t="shared" si="50"/>
        <v/>
      </c>
      <c r="D475" s="34"/>
      <c r="E475" s="33" t="str">
        <f t="shared" si="51"/>
        <v/>
      </c>
      <c r="F475" s="33" t="str">
        <f t="shared" si="52"/>
        <v/>
      </c>
      <c r="G475" s="35"/>
      <c r="H475" s="35"/>
      <c r="I475" s="33"/>
      <c r="J475" s="33" t="str">
        <f t="shared" si="53"/>
        <v/>
      </c>
      <c r="K475" s="36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8"/>
    </row>
    <row r="476" spans="1:35" x14ac:dyDescent="0.3">
      <c r="A476" s="32" t="str">
        <f t="shared" si="48"/>
        <v/>
      </c>
      <c r="B476" s="33" t="str">
        <f t="shared" si="49"/>
        <v/>
      </c>
      <c r="C476" s="33" t="str">
        <f t="shared" si="50"/>
        <v/>
      </c>
      <c r="D476" s="34"/>
      <c r="E476" s="33" t="str">
        <f t="shared" si="51"/>
        <v/>
      </c>
      <c r="F476" s="33" t="str">
        <f t="shared" si="52"/>
        <v/>
      </c>
      <c r="G476" s="35"/>
      <c r="H476" s="35"/>
      <c r="I476" s="33"/>
      <c r="J476" s="33" t="str">
        <f t="shared" si="53"/>
        <v/>
      </c>
      <c r="K476" s="36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8"/>
    </row>
    <row r="477" spans="1:35" x14ac:dyDescent="0.3">
      <c r="A477" s="32" t="str">
        <f t="shared" si="48"/>
        <v/>
      </c>
      <c r="B477" s="33" t="str">
        <f t="shared" si="49"/>
        <v/>
      </c>
      <c r="C477" s="33" t="str">
        <f t="shared" si="50"/>
        <v/>
      </c>
      <c r="D477" s="34"/>
      <c r="E477" s="33" t="str">
        <f t="shared" si="51"/>
        <v/>
      </c>
      <c r="F477" s="33" t="str">
        <f t="shared" si="52"/>
        <v/>
      </c>
      <c r="G477" s="35"/>
      <c r="H477" s="35"/>
      <c r="I477" s="33"/>
      <c r="J477" s="33" t="str">
        <f t="shared" si="53"/>
        <v/>
      </c>
      <c r="K477" s="36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8"/>
    </row>
    <row r="478" spans="1:35" x14ac:dyDescent="0.3">
      <c r="A478" s="32" t="str">
        <f t="shared" si="48"/>
        <v/>
      </c>
      <c r="B478" s="33" t="str">
        <f t="shared" si="49"/>
        <v/>
      </c>
      <c r="C478" s="33" t="str">
        <f t="shared" si="50"/>
        <v/>
      </c>
      <c r="D478" s="34"/>
      <c r="E478" s="33" t="str">
        <f t="shared" si="51"/>
        <v/>
      </c>
      <c r="F478" s="33" t="str">
        <f t="shared" si="52"/>
        <v/>
      </c>
      <c r="G478" s="35"/>
      <c r="H478" s="35"/>
      <c r="I478" s="33"/>
      <c r="J478" s="33" t="str">
        <f t="shared" si="53"/>
        <v/>
      </c>
      <c r="K478" s="36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8"/>
    </row>
    <row r="479" spans="1:35" x14ac:dyDescent="0.3">
      <c r="A479" s="32" t="str">
        <f t="shared" si="48"/>
        <v/>
      </c>
      <c r="B479" s="33" t="str">
        <f t="shared" si="49"/>
        <v/>
      </c>
      <c r="C479" s="33" t="str">
        <f t="shared" si="50"/>
        <v/>
      </c>
      <c r="D479" s="34"/>
      <c r="E479" s="33" t="str">
        <f t="shared" si="51"/>
        <v/>
      </c>
      <c r="F479" s="33" t="str">
        <f t="shared" si="52"/>
        <v/>
      </c>
      <c r="G479" s="35"/>
      <c r="H479" s="35"/>
      <c r="I479" s="33"/>
      <c r="J479" s="33" t="str">
        <f t="shared" si="53"/>
        <v/>
      </c>
      <c r="K479" s="36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8"/>
    </row>
    <row r="480" spans="1:35" x14ac:dyDescent="0.3">
      <c r="A480" s="32" t="str">
        <f t="shared" si="48"/>
        <v/>
      </c>
      <c r="B480" s="33" t="str">
        <f t="shared" si="49"/>
        <v/>
      </c>
      <c r="C480" s="33" t="str">
        <f t="shared" si="50"/>
        <v/>
      </c>
      <c r="D480" s="34"/>
      <c r="E480" s="33" t="str">
        <f t="shared" si="51"/>
        <v/>
      </c>
      <c r="F480" s="33" t="str">
        <f t="shared" si="52"/>
        <v/>
      </c>
      <c r="G480" s="35"/>
      <c r="H480" s="35"/>
      <c r="I480" s="33"/>
      <c r="J480" s="33" t="str">
        <f t="shared" si="53"/>
        <v/>
      </c>
      <c r="K480" s="36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8"/>
    </row>
    <row r="481" spans="1:35" x14ac:dyDescent="0.3">
      <c r="A481" s="32" t="str">
        <f t="shared" si="48"/>
        <v/>
      </c>
      <c r="B481" s="33" t="str">
        <f t="shared" si="49"/>
        <v/>
      </c>
      <c r="C481" s="33" t="str">
        <f t="shared" si="50"/>
        <v/>
      </c>
      <c r="D481" s="34"/>
      <c r="E481" s="33" t="str">
        <f t="shared" si="51"/>
        <v/>
      </c>
      <c r="F481" s="33" t="str">
        <f t="shared" si="52"/>
        <v/>
      </c>
      <c r="G481" s="35"/>
      <c r="H481" s="35"/>
      <c r="I481" s="33"/>
      <c r="J481" s="33" t="str">
        <f t="shared" si="53"/>
        <v/>
      </c>
      <c r="K481" s="36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8"/>
    </row>
    <row r="482" spans="1:35" x14ac:dyDescent="0.3">
      <c r="A482" s="32" t="str">
        <f t="shared" si="48"/>
        <v/>
      </c>
      <c r="B482" s="33" t="str">
        <f t="shared" si="49"/>
        <v/>
      </c>
      <c r="C482" s="33" t="str">
        <f t="shared" si="50"/>
        <v/>
      </c>
      <c r="D482" s="34"/>
      <c r="E482" s="33" t="str">
        <f t="shared" si="51"/>
        <v/>
      </c>
      <c r="F482" s="33" t="str">
        <f t="shared" si="52"/>
        <v/>
      </c>
      <c r="G482" s="35"/>
      <c r="H482" s="35"/>
      <c r="I482" s="33"/>
      <c r="J482" s="33" t="str">
        <f t="shared" si="53"/>
        <v/>
      </c>
      <c r="K482" s="36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8"/>
    </row>
    <row r="483" spans="1:35" x14ac:dyDescent="0.3">
      <c r="A483" s="32" t="str">
        <f t="shared" si="48"/>
        <v/>
      </c>
      <c r="B483" s="33" t="str">
        <f t="shared" si="49"/>
        <v/>
      </c>
      <c r="C483" s="33" t="str">
        <f t="shared" si="50"/>
        <v/>
      </c>
      <c r="D483" s="34"/>
      <c r="E483" s="33" t="str">
        <f t="shared" si="51"/>
        <v/>
      </c>
      <c r="F483" s="33" t="str">
        <f t="shared" si="52"/>
        <v/>
      </c>
      <c r="G483" s="35"/>
      <c r="H483" s="35"/>
      <c r="I483" s="33"/>
      <c r="J483" s="33" t="str">
        <f t="shared" si="53"/>
        <v/>
      </c>
      <c r="K483" s="36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8"/>
    </row>
    <row r="484" spans="1:35" x14ac:dyDescent="0.3">
      <c r="A484" s="32" t="str">
        <f t="shared" si="48"/>
        <v/>
      </c>
      <c r="B484" s="33" t="str">
        <f t="shared" si="49"/>
        <v/>
      </c>
      <c r="C484" s="33" t="str">
        <f t="shared" si="50"/>
        <v/>
      </c>
      <c r="D484" s="34"/>
      <c r="E484" s="33" t="str">
        <f t="shared" si="51"/>
        <v/>
      </c>
      <c r="F484" s="33" t="str">
        <f t="shared" si="52"/>
        <v/>
      </c>
      <c r="G484" s="35"/>
      <c r="H484" s="35"/>
      <c r="I484" s="33"/>
      <c r="J484" s="33" t="str">
        <f t="shared" si="53"/>
        <v/>
      </c>
      <c r="K484" s="36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8"/>
    </row>
    <row r="485" spans="1:35" x14ac:dyDescent="0.3">
      <c r="A485" s="32" t="str">
        <f t="shared" si="48"/>
        <v/>
      </c>
      <c r="B485" s="33" t="str">
        <f t="shared" si="49"/>
        <v/>
      </c>
      <c r="C485" s="33" t="str">
        <f t="shared" si="50"/>
        <v/>
      </c>
      <c r="D485" s="34"/>
      <c r="E485" s="33" t="str">
        <f t="shared" si="51"/>
        <v/>
      </c>
      <c r="F485" s="33" t="str">
        <f t="shared" si="52"/>
        <v/>
      </c>
      <c r="G485" s="35"/>
      <c r="H485" s="35"/>
      <c r="I485" s="33"/>
      <c r="J485" s="33" t="str">
        <f t="shared" si="53"/>
        <v/>
      </c>
      <c r="K485" s="36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8"/>
    </row>
    <row r="486" spans="1:35" x14ac:dyDescent="0.3">
      <c r="A486" s="32" t="str">
        <f t="shared" si="48"/>
        <v/>
      </c>
      <c r="B486" s="33" t="str">
        <f t="shared" si="49"/>
        <v/>
      </c>
      <c r="C486" s="33" t="str">
        <f t="shared" si="50"/>
        <v/>
      </c>
      <c r="D486" s="34"/>
      <c r="E486" s="33" t="str">
        <f t="shared" si="51"/>
        <v/>
      </c>
      <c r="F486" s="33" t="str">
        <f t="shared" si="52"/>
        <v/>
      </c>
      <c r="G486" s="35"/>
      <c r="H486" s="35"/>
      <c r="I486" s="33"/>
      <c r="J486" s="33" t="str">
        <f t="shared" si="53"/>
        <v/>
      </c>
      <c r="K486" s="36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8"/>
    </row>
    <row r="487" spans="1:35" x14ac:dyDescent="0.3">
      <c r="A487" s="32" t="str">
        <f t="shared" si="48"/>
        <v/>
      </c>
      <c r="B487" s="33" t="str">
        <f t="shared" si="49"/>
        <v/>
      </c>
      <c r="C487" s="33" t="str">
        <f t="shared" si="50"/>
        <v/>
      </c>
      <c r="D487" s="34"/>
      <c r="E487" s="33" t="str">
        <f t="shared" si="51"/>
        <v/>
      </c>
      <c r="F487" s="33" t="str">
        <f t="shared" si="52"/>
        <v/>
      </c>
      <c r="G487" s="35"/>
      <c r="H487" s="35"/>
      <c r="I487" s="33"/>
      <c r="J487" s="33" t="str">
        <f t="shared" si="53"/>
        <v/>
      </c>
      <c r="K487" s="36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8"/>
    </row>
    <row r="488" spans="1:35" x14ac:dyDescent="0.3">
      <c r="A488" s="32" t="str">
        <f t="shared" si="48"/>
        <v/>
      </c>
      <c r="B488" s="33" t="str">
        <f t="shared" si="49"/>
        <v/>
      </c>
      <c r="C488" s="33" t="str">
        <f t="shared" si="50"/>
        <v/>
      </c>
      <c r="D488" s="34"/>
      <c r="E488" s="33" t="str">
        <f t="shared" si="51"/>
        <v/>
      </c>
      <c r="F488" s="33" t="str">
        <f t="shared" si="52"/>
        <v/>
      </c>
      <c r="G488" s="35"/>
      <c r="H488" s="35"/>
      <c r="I488" s="33"/>
      <c r="J488" s="33" t="str">
        <f t="shared" si="53"/>
        <v/>
      </c>
      <c r="K488" s="36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8"/>
    </row>
    <row r="489" spans="1:35" x14ac:dyDescent="0.3">
      <c r="A489" s="32" t="str">
        <f t="shared" si="48"/>
        <v/>
      </c>
      <c r="B489" s="33" t="str">
        <f t="shared" si="49"/>
        <v/>
      </c>
      <c r="C489" s="33" t="str">
        <f t="shared" si="50"/>
        <v/>
      </c>
      <c r="D489" s="34"/>
      <c r="E489" s="33" t="str">
        <f t="shared" si="51"/>
        <v/>
      </c>
      <c r="F489" s="33" t="str">
        <f t="shared" si="52"/>
        <v/>
      </c>
      <c r="G489" s="35"/>
      <c r="H489" s="35"/>
      <c r="I489" s="33"/>
      <c r="J489" s="33" t="str">
        <f t="shared" si="53"/>
        <v/>
      </c>
      <c r="K489" s="36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8"/>
    </row>
    <row r="490" spans="1:35" x14ac:dyDescent="0.3">
      <c r="A490" s="32" t="str">
        <f t="shared" si="48"/>
        <v/>
      </c>
      <c r="B490" s="33" t="str">
        <f t="shared" si="49"/>
        <v/>
      </c>
      <c r="C490" s="33" t="str">
        <f t="shared" si="50"/>
        <v/>
      </c>
      <c r="D490" s="34"/>
      <c r="E490" s="33" t="str">
        <f t="shared" si="51"/>
        <v/>
      </c>
      <c r="F490" s="33" t="str">
        <f t="shared" si="52"/>
        <v/>
      </c>
      <c r="G490" s="35"/>
      <c r="H490" s="35"/>
      <c r="I490" s="33"/>
      <c r="J490" s="33" t="str">
        <f t="shared" si="53"/>
        <v/>
      </c>
      <c r="K490" s="36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8"/>
    </row>
    <row r="491" spans="1:35" x14ac:dyDescent="0.3">
      <c r="A491" s="32" t="str">
        <f t="shared" si="48"/>
        <v/>
      </c>
      <c r="B491" s="33" t="str">
        <f t="shared" si="49"/>
        <v/>
      </c>
      <c r="C491" s="33" t="str">
        <f t="shared" si="50"/>
        <v/>
      </c>
      <c r="D491" s="34"/>
      <c r="E491" s="33" t="str">
        <f t="shared" si="51"/>
        <v/>
      </c>
      <c r="F491" s="33" t="str">
        <f t="shared" si="52"/>
        <v/>
      </c>
      <c r="G491" s="35"/>
      <c r="H491" s="35"/>
      <c r="I491" s="33"/>
      <c r="J491" s="33" t="str">
        <f t="shared" si="53"/>
        <v/>
      </c>
      <c r="K491" s="36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8"/>
    </row>
    <row r="492" spans="1:35" x14ac:dyDescent="0.3">
      <c r="A492" s="32" t="str">
        <f t="shared" si="48"/>
        <v/>
      </c>
      <c r="B492" s="33" t="str">
        <f t="shared" si="49"/>
        <v/>
      </c>
      <c r="C492" s="33" t="str">
        <f t="shared" si="50"/>
        <v/>
      </c>
      <c r="D492" s="34"/>
      <c r="E492" s="33" t="str">
        <f t="shared" si="51"/>
        <v/>
      </c>
      <c r="F492" s="33" t="str">
        <f t="shared" si="52"/>
        <v/>
      </c>
      <c r="G492" s="35"/>
      <c r="H492" s="35"/>
      <c r="I492" s="33"/>
      <c r="J492" s="33" t="str">
        <f t="shared" si="53"/>
        <v/>
      </c>
      <c r="K492" s="36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8"/>
    </row>
    <row r="493" spans="1:35" x14ac:dyDescent="0.3">
      <c r="A493" s="32" t="str">
        <f t="shared" si="48"/>
        <v/>
      </c>
      <c r="B493" s="33" t="str">
        <f t="shared" si="49"/>
        <v/>
      </c>
      <c r="C493" s="33" t="str">
        <f t="shared" si="50"/>
        <v/>
      </c>
      <c r="D493" s="34"/>
      <c r="E493" s="33" t="str">
        <f t="shared" si="51"/>
        <v/>
      </c>
      <c r="F493" s="33" t="str">
        <f t="shared" si="52"/>
        <v/>
      </c>
      <c r="G493" s="35"/>
      <c r="H493" s="35"/>
      <c r="I493" s="33"/>
      <c r="J493" s="33" t="str">
        <f t="shared" si="53"/>
        <v/>
      </c>
      <c r="K493" s="36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8"/>
    </row>
    <row r="494" spans="1:35" x14ac:dyDescent="0.3">
      <c r="A494" s="32" t="str">
        <f t="shared" si="48"/>
        <v/>
      </c>
      <c r="B494" s="33" t="str">
        <f t="shared" si="49"/>
        <v/>
      </c>
      <c r="C494" s="33" t="str">
        <f t="shared" si="50"/>
        <v/>
      </c>
      <c r="D494" s="34"/>
      <c r="E494" s="33" t="str">
        <f t="shared" si="51"/>
        <v/>
      </c>
      <c r="F494" s="33" t="str">
        <f t="shared" si="52"/>
        <v/>
      </c>
      <c r="G494" s="35"/>
      <c r="H494" s="35"/>
      <c r="I494" s="33"/>
      <c r="J494" s="33" t="str">
        <f t="shared" si="53"/>
        <v/>
      </c>
      <c r="K494" s="36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8"/>
    </row>
    <row r="495" spans="1:35" x14ac:dyDescent="0.3">
      <c r="A495" s="32" t="str">
        <f t="shared" si="48"/>
        <v/>
      </c>
      <c r="B495" s="33" t="str">
        <f t="shared" si="49"/>
        <v/>
      </c>
      <c r="C495" s="33" t="str">
        <f t="shared" si="50"/>
        <v/>
      </c>
      <c r="D495" s="34"/>
      <c r="E495" s="33" t="str">
        <f t="shared" si="51"/>
        <v/>
      </c>
      <c r="F495" s="33" t="str">
        <f t="shared" si="52"/>
        <v/>
      </c>
      <c r="G495" s="35"/>
      <c r="H495" s="35"/>
      <c r="I495" s="33"/>
      <c r="J495" s="33" t="str">
        <f t="shared" si="53"/>
        <v/>
      </c>
      <c r="K495" s="36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8"/>
    </row>
    <row r="496" spans="1:35" x14ac:dyDescent="0.3">
      <c r="A496" s="32" t="str">
        <f t="shared" si="48"/>
        <v/>
      </c>
      <c r="B496" s="33" t="str">
        <f t="shared" si="49"/>
        <v/>
      </c>
      <c r="C496" s="33" t="str">
        <f t="shared" si="50"/>
        <v/>
      </c>
      <c r="D496" s="34"/>
      <c r="E496" s="33" t="str">
        <f t="shared" si="51"/>
        <v/>
      </c>
      <c r="F496" s="33" t="str">
        <f t="shared" si="52"/>
        <v/>
      </c>
      <c r="G496" s="35"/>
      <c r="H496" s="35"/>
      <c r="I496" s="33"/>
      <c r="J496" s="33" t="str">
        <f t="shared" si="53"/>
        <v/>
      </c>
      <c r="K496" s="36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8"/>
    </row>
    <row r="497" spans="1:35" x14ac:dyDescent="0.3">
      <c r="A497" s="32" t="str">
        <f t="shared" si="48"/>
        <v/>
      </c>
      <c r="B497" s="33" t="str">
        <f t="shared" si="49"/>
        <v/>
      </c>
      <c r="C497" s="33" t="str">
        <f t="shared" si="50"/>
        <v/>
      </c>
      <c r="D497" s="34"/>
      <c r="E497" s="33" t="str">
        <f t="shared" si="51"/>
        <v/>
      </c>
      <c r="F497" s="33" t="str">
        <f t="shared" si="52"/>
        <v/>
      </c>
      <c r="G497" s="35"/>
      <c r="H497" s="35"/>
      <c r="I497" s="33"/>
      <c r="J497" s="33" t="str">
        <f t="shared" si="53"/>
        <v/>
      </c>
      <c r="K497" s="36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8"/>
    </row>
    <row r="498" spans="1:35" x14ac:dyDescent="0.3">
      <c r="A498" s="32" t="str">
        <f t="shared" si="48"/>
        <v/>
      </c>
      <c r="B498" s="33" t="str">
        <f t="shared" si="49"/>
        <v/>
      </c>
      <c r="C498" s="33" t="str">
        <f t="shared" si="50"/>
        <v/>
      </c>
      <c r="D498" s="34"/>
      <c r="E498" s="33" t="str">
        <f t="shared" si="51"/>
        <v/>
      </c>
      <c r="F498" s="33" t="str">
        <f t="shared" si="52"/>
        <v/>
      </c>
      <c r="G498" s="35"/>
      <c r="H498" s="35"/>
      <c r="I498" s="33"/>
      <c r="J498" s="33" t="str">
        <f t="shared" si="53"/>
        <v/>
      </c>
      <c r="K498" s="36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8"/>
    </row>
    <row r="499" spans="1:35" x14ac:dyDescent="0.3">
      <c r="A499" s="32" t="str">
        <f t="shared" si="48"/>
        <v/>
      </c>
      <c r="B499" s="33" t="str">
        <f t="shared" si="49"/>
        <v/>
      </c>
      <c r="C499" s="33" t="str">
        <f t="shared" si="50"/>
        <v/>
      </c>
      <c r="D499" s="34"/>
      <c r="E499" s="33" t="str">
        <f t="shared" si="51"/>
        <v/>
      </c>
      <c r="F499" s="33" t="str">
        <f t="shared" si="52"/>
        <v/>
      </c>
      <c r="G499" s="35"/>
      <c r="H499" s="35"/>
      <c r="I499" s="33"/>
      <c r="J499" s="33" t="str">
        <f t="shared" si="53"/>
        <v/>
      </c>
      <c r="K499" s="36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8"/>
    </row>
    <row r="500" spans="1:35" x14ac:dyDescent="0.3">
      <c r="A500" s="32" t="str">
        <f t="shared" si="48"/>
        <v/>
      </c>
      <c r="B500" s="33" t="str">
        <f t="shared" si="49"/>
        <v/>
      </c>
      <c r="C500" s="33" t="str">
        <f t="shared" si="50"/>
        <v/>
      </c>
      <c r="D500" s="34"/>
      <c r="E500" s="33" t="str">
        <f t="shared" si="51"/>
        <v/>
      </c>
      <c r="F500" s="33" t="str">
        <f t="shared" si="52"/>
        <v/>
      </c>
      <c r="G500" s="35"/>
      <c r="H500" s="35"/>
      <c r="I500" s="33"/>
      <c r="J500" s="33" t="str">
        <f t="shared" si="53"/>
        <v/>
      </c>
      <c r="K500" s="36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8"/>
    </row>
    <row r="501" spans="1:35" x14ac:dyDescent="0.3">
      <c r="A501" s="32" t="str">
        <f t="shared" si="48"/>
        <v/>
      </c>
      <c r="B501" s="33" t="str">
        <f t="shared" si="49"/>
        <v/>
      </c>
      <c r="C501" s="33" t="str">
        <f t="shared" si="50"/>
        <v/>
      </c>
      <c r="D501" s="34"/>
      <c r="E501" s="33" t="str">
        <f t="shared" si="51"/>
        <v/>
      </c>
      <c r="F501" s="33" t="str">
        <f t="shared" si="52"/>
        <v/>
      </c>
      <c r="G501" s="35"/>
      <c r="H501" s="35"/>
      <c r="I501" s="33"/>
      <c r="J501" s="33" t="str">
        <f t="shared" si="53"/>
        <v/>
      </c>
      <c r="K501" s="36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8"/>
    </row>
    <row r="502" spans="1:35" x14ac:dyDescent="0.3">
      <c r="A502" s="32" t="str">
        <f t="shared" si="48"/>
        <v/>
      </c>
      <c r="B502" s="33" t="str">
        <f t="shared" si="49"/>
        <v/>
      </c>
      <c r="C502" s="33" t="str">
        <f t="shared" si="50"/>
        <v/>
      </c>
      <c r="D502" s="34"/>
      <c r="E502" s="33" t="str">
        <f t="shared" si="51"/>
        <v/>
      </c>
      <c r="F502" s="33" t="str">
        <f t="shared" si="52"/>
        <v/>
      </c>
      <c r="G502" s="35"/>
      <c r="H502" s="35"/>
      <c r="I502" s="33"/>
      <c r="J502" s="33" t="str">
        <f t="shared" si="53"/>
        <v/>
      </c>
      <c r="K502" s="36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8"/>
    </row>
    <row r="503" spans="1:35" x14ac:dyDescent="0.3">
      <c r="A503" s="32" t="str">
        <f t="shared" si="48"/>
        <v/>
      </c>
      <c r="B503" s="33" t="str">
        <f t="shared" si="49"/>
        <v/>
      </c>
      <c r="C503" s="33" t="str">
        <f t="shared" si="50"/>
        <v/>
      </c>
      <c r="D503" s="34"/>
      <c r="E503" s="33" t="str">
        <f t="shared" si="51"/>
        <v/>
      </c>
      <c r="F503" s="33" t="str">
        <f t="shared" si="52"/>
        <v/>
      </c>
      <c r="G503" s="35"/>
      <c r="H503" s="35"/>
      <c r="I503" s="33"/>
      <c r="J503" s="33" t="str">
        <f t="shared" si="53"/>
        <v/>
      </c>
      <c r="K503" s="36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8"/>
    </row>
    <row r="504" spans="1:35" x14ac:dyDescent="0.3">
      <c r="A504" s="32" t="str">
        <f t="shared" si="48"/>
        <v/>
      </c>
      <c r="B504" s="33" t="str">
        <f t="shared" si="49"/>
        <v/>
      </c>
      <c r="C504" s="33" t="str">
        <f t="shared" si="50"/>
        <v/>
      </c>
      <c r="D504" s="34"/>
      <c r="E504" s="33" t="str">
        <f t="shared" si="51"/>
        <v/>
      </c>
      <c r="F504" s="33" t="str">
        <f t="shared" si="52"/>
        <v/>
      </c>
      <c r="G504" s="35"/>
      <c r="H504" s="35"/>
      <c r="I504" s="33"/>
      <c r="J504" s="33" t="str">
        <f t="shared" si="53"/>
        <v/>
      </c>
      <c r="K504" s="36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8"/>
    </row>
    <row r="505" spans="1:35" x14ac:dyDescent="0.3">
      <c r="A505" s="32" t="str">
        <f t="shared" si="48"/>
        <v/>
      </c>
      <c r="B505" s="33" t="str">
        <f t="shared" si="49"/>
        <v/>
      </c>
      <c r="C505" s="33" t="str">
        <f t="shared" si="50"/>
        <v/>
      </c>
      <c r="D505" s="34"/>
      <c r="E505" s="33" t="str">
        <f t="shared" si="51"/>
        <v/>
      </c>
      <c r="F505" s="33" t="str">
        <f t="shared" si="52"/>
        <v/>
      </c>
      <c r="G505" s="35"/>
      <c r="H505" s="35"/>
      <c r="I505" s="33"/>
      <c r="J505" s="33" t="str">
        <f t="shared" si="53"/>
        <v/>
      </c>
      <c r="K505" s="36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8"/>
    </row>
    <row r="506" spans="1:35" x14ac:dyDescent="0.3">
      <c r="A506" s="32" t="str">
        <f t="shared" si="48"/>
        <v/>
      </c>
      <c r="B506" s="33" t="str">
        <f t="shared" si="49"/>
        <v/>
      </c>
      <c r="C506" s="33" t="str">
        <f t="shared" si="50"/>
        <v/>
      </c>
      <c r="D506" s="34"/>
      <c r="E506" s="33" t="str">
        <f t="shared" si="51"/>
        <v/>
      </c>
      <c r="F506" s="33" t="str">
        <f t="shared" si="52"/>
        <v/>
      </c>
      <c r="G506" s="35"/>
      <c r="H506" s="35"/>
      <c r="I506" s="33"/>
      <c r="J506" s="33" t="str">
        <f t="shared" si="53"/>
        <v/>
      </c>
      <c r="K506" s="36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8"/>
    </row>
    <row r="507" spans="1:35" x14ac:dyDescent="0.3">
      <c r="A507" s="32" t="str">
        <f t="shared" si="48"/>
        <v/>
      </c>
      <c r="B507" s="33" t="str">
        <f t="shared" si="49"/>
        <v/>
      </c>
      <c r="C507" s="33" t="str">
        <f t="shared" si="50"/>
        <v/>
      </c>
      <c r="D507" s="34"/>
      <c r="E507" s="33" t="str">
        <f t="shared" si="51"/>
        <v/>
      </c>
      <c r="F507" s="33" t="str">
        <f t="shared" si="52"/>
        <v/>
      </c>
      <c r="G507" s="35"/>
      <c r="H507" s="35"/>
      <c r="I507" s="33"/>
      <c r="J507" s="33" t="str">
        <f t="shared" si="53"/>
        <v/>
      </c>
      <c r="K507" s="36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8"/>
    </row>
    <row r="508" spans="1:35" x14ac:dyDescent="0.3">
      <c r="A508" s="32" t="str">
        <f t="shared" si="48"/>
        <v/>
      </c>
      <c r="B508" s="33" t="str">
        <f t="shared" si="49"/>
        <v/>
      </c>
      <c r="C508" s="33" t="str">
        <f t="shared" si="50"/>
        <v/>
      </c>
      <c r="D508" s="34"/>
      <c r="E508" s="33" t="str">
        <f t="shared" si="51"/>
        <v/>
      </c>
      <c r="F508" s="33" t="str">
        <f t="shared" si="52"/>
        <v/>
      </c>
      <c r="G508" s="35"/>
      <c r="H508" s="35"/>
      <c r="I508" s="33"/>
      <c r="J508" s="33" t="str">
        <f t="shared" si="53"/>
        <v/>
      </c>
      <c r="K508" s="36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8"/>
    </row>
    <row r="509" spans="1:35" x14ac:dyDescent="0.3">
      <c r="A509" s="32" t="str">
        <f t="shared" si="48"/>
        <v/>
      </c>
      <c r="B509" s="33" t="str">
        <f t="shared" si="49"/>
        <v/>
      </c>
      <c r="C509" s="33" t="str">
        <f t="shared" si="50"/>
        <v/>
      </c>
      <c r="D509" s="34"/>
      <c r="E509" s="33" t="str">
        <f t="shared" si="51"/>
        <v/>
      </c>
      <c r="F509" s="33" t="str">
        <f t="shared" si="52"/>
        <v/>
      </c>
      <c r="G509" s="35"/>
      <c r="H509" s="35"/>
      <c r="I509" s="33"/>
      <c r="J509" s="33" t="str">
        <f t="shared" si="53"/>
        <v/>
      </c>
      <c r="K509" s="36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8"/>
    </row>
    <row r="510" spans="1:35" x14ac:dyDescent="0.3">
      <c r="A510" s="32" t="str">
        <f t="shared" si="48"/>
        <v/>
      </c>
      <c r="B510" s="33" t="str">
        <f t="shared" si="49"/>
        <v/>
      </c>
      <c r="C510" s="33" t="str">
        <f t="shared" si="50"/>
        <v/>
      </c>
      <c r="D510" s="34"/>
      <c r="E510" s="33" t="str">
        <f t="shared" si="51"/>
        <v/>
      </c>
      <c r="F510" s="33" t="str">
        <f t="shared" si="52"/>
        <v/>
      </c>
      <c r="G510" s="35"/>
      <c r="H510" s="35"/>
      <c r="I510" s="33"/>
      <c r="J510" s="33" t="str">
        <f t="shared" si="53"/>
        <v/>
      </c>
      <c r="K510" s="36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8"/>
    </row>
    <row r="511" spans="1:35" x14ac:dyDescent="0.3">
      <c r="A511" s="32" t="str">
        <f t="shared" si="48"/>
        <v/>
      </c>
      <c r="B511" s="33" t="str">
        <f t="shared" si="49"/>
        <v/>
      </c>
      <c r="C511" s="33" t="str">
        <f t="shared" si="50"/>
        <v/>
      </c>
      <c r="D511" s="34"/>
      <c r="E511" s="33" t="str">
        <f t="shared" si="51"/>
        <v/>
      </c>
      <c r="F511" s="33" t="str">
        <f t="shared" si="52"/>
        <v/>
      </c>
      <c r="G511" s="35"/>
      <c r="H511" s="35"/>
      <c r="I511" s="33"/>
      <c r="J511" s="33" t="str">
        <f t="shared" si="53"/>
        <v/>
      </c>
      <c r="K511" s="36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8"/>
    </row>
    <row r="512" spans="1:35" x14ac:dyDescent="0.3">
      <c r="A512" s="32" t="str">
        <f t="shared" si="48"/>
        <v/>
      </c>
      <c r="B512" s="33" t="str">
        <f t="shared" si="49"/>
        <v/>
      </c>
      <c r="C512" s="33" t="str">
        <f t="shared" si="50"/>
        <v/>
      </c>
      <c r="D512" s="34"/>
      <c r="E512" s="33" t="str">
        <f t="shared" si="51"/>
        <v/>
      </c>
      <c r="F512" s="33" t="str">
        <f t="shared" si="52"/>
        <v/>
      </c>
      <c r="G512" s="35"/>
      <c r="H512" s="35"/>
      <c r="I512" s="33"/>
      <c r="J512" s="33" t="str">
        <f t="shared" si="53"/>
        <v/>
      </c>
      <c r="K512" s="36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8"/>
    </row>
    <row r="513" spans="1:35" x14ac:dyDescent="0.3">
      <c r="A513" s="32" t="str">
        <f t="shared" si="48"/>
        <v/>
      </c>
      <c r="B513" s="33" t="str">
        <f t="shared" si="49"/>
        <v/>
      </c>
      <c r="C513" s="33" t="str">
        <f t="shared" si="50"/>
        <v/>
      </c>
      <c r="D513" s="34"/>
      <c r="E513" s="33" t="str">
        <f t="shared" si="51"/>
        <v/>
      </c>
      <c r="F513" s="33" t="str">
        <f t="shared" si="52"/>
        <v/>
      </c>
      <c r="G513" s="35"/>
      <c r="H513" s="35"/>
      <c r="I513" s="33"/>
      <c r="J513" s="33" t="str">
        <f t="shared" si="53"/>
        <v/>
      </c>
      <c r="K513" s="36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8"/>
    </row>
    <row r="514" spans="1:35" x14ac:dyDescent="0.3">
      <c r="A514" s="32" t="str">
        <f t="shared" si="48"/>
        <v/>
      </c>
      <c r="B514" s="33" t="str">
        <f t="shared" si="49"/>
        <v/>
      </c>
      <c r="C514" s="33" t="str">
        <f t="shared" si="50"/>
        <v/>
      </c>
      <c r="D514" s="34"/>
      <c r="E514" s="33" t="str">
        <f t="shared" si="51"/>
        <v/>
      </c>
      <c r="F514" s="33" t="str">
        <f t="shared" si="52"/>
        <v/>
      </c>
      <c r="G514" s="35"/>
      <c r="H514" s="35"/>
      <c r="I514" s="33"/>
      <c r="J514" s="33" t="str">
        <f t="shared" si="53"/>
        <v/>
      </c>
      <c r="K514" s="36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8"/>
    </row>
    <row r="515" spans="1:35" x14ac:dyDescent="0.3">
      <c r="A515" s="32" t="str">
        <f t="shared" si="48"/>
        <v/>
      </c>
      <c r="B515" s="33" t="str">
        <f t="shared" si="49"/>
        <v/>
      </c>
      <c r="C515" s="33" t="str">
        <f t="shared" si="50"/>
        <v/>
      </c>
      <c r="D515" s="34"/>
      <c r="E515" s="33" t="str">
        <f t="shared" si="51"/>
        <v/>
      </c>
      <c r="F515" s="33" t="str">
        <f t="shared" si="52"/>
        <v/>
      </c>
      <c r="G515" s="35"/>
      <c r="H515" s="35"/>
      <c r="I515" s="33"/>
      <c r="J515" s="33" t="str">
        <f t="shared" si="53"/>
        <v/>
      </c>
      <c r="K515" s="36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8"/>
    </row>
    <row r="516" spans="1:35" x14ac:dyDescent="0.3">
      <c r="A516" s="32" t="str">
        <f t="shared" si="48"/>
        <v/>
      </c>
      <c r="B516" s="33" t="str">
        <f t="shared" si="49"/>
        <v/>
      </c>
      <c r="C516" s="33" t="str">
        <f t="shared" si="50"/>
        <v/>
      </c>
      <c r="D516" s="34"/>
      <c r="E516" s="33" t="str">
        <f t="shared" si="51"/>
        <v/>
      </c>
      <c r="F516" s="33" t="str">
        <f t="shared" si="52"/>
        <v/>
      </c>
      <c r="G516" s="35"/>
      <c r="H516" s="35"/>
      <c r="I516" s="33"/>
      <c r="J516" s="33" t="str">
        <f t="shared" si="53"/>
        <v/>
      </c>
      <c r="K516" s="36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8"/>
    </row>
    <row r="517" spans="1:35" x14ac:dyDescent="0.3">
      <c r="A517" s="32" t="str">
        <f t="shared" si="48"/>
        <v/>
      </c>
      <c r="B517" s="33" t="str">
        <f t="shared" si="49"/>
        <v/>
      </c>
      <c r="C517" s="33" t="str">
        <f t="shared" si="50"/>
        <v/>
      </c>
      <c r="D517" s="34"/>
      <c r="E517" s="33" t="str">
        <f t="shared" si="51"/>
        <v/>
      </c>
      <c r="F517" s="33" t="str">
        <f t="shared" si="52"/>
        <v/>
      </c>
      <c r="G517" s="35"/>
      <c r="H517" s="35"/>
      <c r="I517" s="33"/>
      <c r="J517" s="33" t="str">
        <f t="shared" si="53"/>
        <v/>
      </c>
      <c r="K517" s="36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8"/>
    </row>
    <row r="518" spans="1:35" x14ac:dyDescent="0.3">
      <c r="A518" s="32" t="str">
        <f t="shared" si="48"/>
        <v/>
      </c>
      <c r="B518" s="33" t="str">
        <f t="shared" si="49"/>
        <v/>
      </c>
      <c r="C518" s="33" t="str">
        <f t="shared" si="50"/>
        <v/>
      </c>
      <c r="D518" s="34"/>
      <c r="E518" s="33" t="str">
        <f t="shared" si="51"/>
        <v/>
      </c>
      <c r="F518" s="33" t="str">
        <f t="shared" si="52"/>
        <v/>
      </c>
      <c r="G518" s="35"/>
      <c r="H518" s="35"/>
      <c r="I518" s="33"/>
      <c r="J518" s="33" t="str">
        <f t="shared" si="53"/>
        <v/>
      </c>
      <c r="K518" s="36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8"/>
    </row>
    <row r="519" spans="1:35" x14ac:dyDescent="0.3">
      <c r="A519" s="32" t="str">
        <f t="shared" si="48"/>
        <v/>
      </c>
      <c r="B519" s="33" t="str">
        <f t="shared" si="49"/>
        <v/>
      </c>
      <c r="C519" s="33" t="str">
        <f t="shared" si="50"/>
        <v/>
      </c>
      <c r="D519" s="34"/>
      <c r="E519" s="33" t="str">
        <f t="shared" si="51"/>
        <v/>
      </c>
      <c r="F519" s="33" t="str">
        <f t="shared" si="52"/>
        <v/>
      </c>
      <c r="G519" s="35"/>
      <c r="H519" s="35"/>
      <c r="I519" s="33"/>
      <c r="J519" s="33" t="str">
        <f t="shared" si="53"/>
        <v/>
      </c>
      <c r="K519" s="36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8"/>
    </row>
    <row r="520" spans="1:35" x14ac:dyDescent="0.3">
      <c r="A520" s="32" t="str">
        <f t="shared" si="48"/>
        <v/>
      </c>
      <c r="B520" s="33" t="str">
        <f t="shared" si="49"/>
        <v/>
      </c>
      <c r="C520" s="33" t="str">
        <f t="shared" si="50"/>
        <v/>
      </c>
      <c r="D520" s="34"/>
      <c r="E520" s="33" t="str">
        <f t="shared" si="51"/>
        <v/>
      </c>
      <c r="F520" s="33" t="str">
        <f t="shared" si="52"/>
        <v/>
      </c>
      <c r="G520" s="35"/>
      <c r="H520" s="35"/>
      <c r="I520" s="33"/>
      <c r="J520" s="33" t="str">
        <f t="shared" si="53"/>
        <v/>
      </c>
      <c r="K520" s="36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8"/>
    </row>
    <row r="521" spans="1:35" x14ac:dyDescent="0.3">
      <c r="A521" s="32" t="str">
        <f t="shared" si="48"/>
        <v/>
      </c>
      <c r="B521" s="33" t="str">
        <f t="shared" si="49"/>
        <v/>
      </c>
      <c r="C521" s="33" t="str">
        <f t="shared" si="50"/>
        <v/>
      </c>
      <c r="D521" s="34"/>
      <c r="E521" s="33" t="str">
        <f t="shared" si="51"/>
        <v/>
      </c>
      <c r="F521" s="33" t="str">
        <f t="shared" si="52"/>
        <v/>
      </c>
      <c r="G521" s="35"/>
      <c r="H521" s="35"/>
      <c r="I521" s="33"/>
      <c r="J521" s="33" t="str">
        <f t="shared" si="53"/>
        <v/>
      </c>
      <c r="K521" s="36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8"/>
    </row>
    <row r="522" spans="1:35" x14ac:dyDescent="0.3">
      <c r="A522" s="32" t="str">
        <f t="shared" si="48"/>
        <v/>
      </c>
      <c r="B522" s="33" t="str">
        <f t="shared" si="49"/>
        <v/>
      </c>
      <c r="C522" s="33" t="str">
        <f t="shared" si="50"/>
        <v/>
      </c>
      <c r="D522" s="34"/>
      <c r="E522" s="33" t="str">
        <f t="shared" si="51"/>
        <v/>
      </c>
      <c r="F522" s="33" t="str">
        <f t="shared" si="52"/>
        <v/>
      </c>
      <c r="G522" s="35"/>
      <c r="H522" s="35"/>
      <c r="I522" s="33"/>
      <c r="J522" s="33" t="str">
        <f t="shared" si="53"/>
        <v/>
      </c>
      <c r="K522" s="36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8"/>
    </row>
    <row r="523" spans="1:35" x14ac:dyDescent="0.3">
      <c r="A523" s="32" t="str">
        <f t="shared" si="48"/>
        <v/>
      </c>
      <c r="B523" s="33" t="str">
        <f t="shared" si="49"/>
        <v/>
      </c>
      <c r="C523" s="33" t="str">
        <f t="shared" si="50"/>
        <v/>
      </c>
      <c r="D523" s="34"/>
      <c r="E523" s="33" t="str">
        <f t="shared" si="51"/>
        <v/>
      </c>
      <c r="F523" s="33" t="str">
        <f t="shared" si="52"/>
        <v/>
      </c>
      <c r="G523" s="35"/>
      <c r="H523" s="35"/>
      <c r="I523" s="33"/>
      <c r="J523" s="33" t="str">
        <f t="shared" si="53"/>
        <v/>
      </c>
      <c r="K523" s="36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8"/>
    </row>
    <row r="524" spans="1:35" x14ac:dyDescent="0.3">
      <c r="A524" s="32" t="str">
        <f t="shared" si="48"/>
        <v/>
      </c>
      <c r="B524" s="33" t="str">
        <f t="shared" si="49"/>
        <v/>
      </c>
      <c r="C524" s="33" t="str">
        <f t="shared" si="50"/>
        <v/>
      </c>
      <c r="D524" s="34"/>
      <c r="E524" s="33" t="str">
        <f t="shared" si="51"/>
        <v/>
      </c>
      <c r="F524" s="33" t="str">
        <f t="shared" si="52"/>
        <v/>
      </c>
      <c r="G524" s="35"/>
      <c r="H524" s="35"/>
      <c r="I524" s="33"/>
      <c r="J524" s="33" t="str">
        <f t="shared" si="53"/>
        <v/>
      </c>
      <c r="K524" s="36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8"/>
    </row>
    <row r="525" spans="1:35" x14ac:dyDescent="0.3">
      <c r="A525" s="32" t="str">
        <f t="shared" si="48"/>
        <v/>
      </c>
      <c r="B525" s="33" t="str">
        <f t="shared" si="49"/>
        <v/>
      </c>
      <c r="C525" s="33" t="str">
        <f t="shared" si="50"/>
        <v/>
      </c>
      <c r="D525" s="34"/>
      <c r="E525" s="33" t="str">
        <f t="shared" si="51"/>
        <v/>
      </c>
      <c r="F525" s="33" t="str">
        <f t="shared" si="52"/>
        <v/>
      </c>
      <c r="G525" s="35"/>
      <c r="H525" s="35"/>
      <c r="I525" s="33"/>
      <c r="J525" s="33" t="str">
        <f t="shared" si="53"/>
        <v/>
      </c>
      <c r="K525" s="36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8"/>
    </row>
    <row r="526" spans="1:35" x14ac:dyDescent="0.3">
      <c r="A526" s="32" t="str">
        <f t="shared" si="48"/>
        <v/>
      </c>
      <c r="B526" s="33" t="str">
        <f t="shared" si="49"/>
        <v/>
      </c>
      <c r="C526" s="33" t="str">
        <f t="shared" si="50"/>
        <v/>
      </c>
      <c r="D526" s="34"/>
      <c r="E526" s="33" t="str">
        <f t="shared" si="51"/>
        <v/>
      </c>
      <c r="F526" s="33" t="str">
        <f t="shared" si="52"/>
        <v/>
      </c>
      <c r="G526" s="35"/>
      <c r="H526" s="35"/>
      <c r="I526" s="33"/>
      <c r="J526" s="33" t="str">
        <f t="shared" si="53"/>
        <v/>
      </c>
      <c r="K526" s="36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8"/>
    </row>
    <row r="527" spans="1:35" x14ac:dyDescent="0.3">
      <c r="A527" s="32" t="str">
        <f t="shared" si="48"/>
        <v/>
      </c>
      <c r="B527" s="33" t="str">
        <f t="shared" si="49"/>
        <v/>
      </c>
      <c r="C527" s="33" t="str">
        <f t="shared" si="50"/>
        <v/>
      </c>
      <c r="D527" s="34"/>
      <c r="E527" s="33" t="str">
        <f t="shared" si="51"/>
        <v/>
      </c>
      <c r="F527" s="33" t="str">
        <f t="shared" si="52"/>
        <v/>
      </c>
      <c r="G527" s="35"/>
      <c r="H527" s="35"/>
      <c r="I527" s="33"/>
      <c r="J527" s="33" t="str">
        <f t="shared" si="53"/>
        <v/>
      </c>
      <c r="K527" s="36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8"/>
    </row>
    <row r="528" spans="1:35" x14ac:dyDescent="0.3">
      <c r="A528" s="32" t="str">
        <f t="shared" si="48"/>
        <v/>
      </c>
      <c r="B528" s="33" t="str">
        <f t="shared" si="49"/>
        <v/>
      </c>
      <c r="C528" s="33" t="str">
        <f t="shared" si="50"/>
        <v/>
      </c>
      <c r="D528" s="34"/>
      <c r="E528" s="33" t="str">
        <f t="shared" si="51"/>
        <v/>
      </c>
      <c r="F528" s="33" t="str">
        <f t="shared" si="52"/>
        <v/>
      </c>
      <c r="G528" s="35"/>
      <c r="H528" s="35"/>
      <c r="I528" s="33"/>
      <c r="J528" s="33" t="str">
        <f t="shared" si="53"/>
        <v/>
      </c>
      <c r="K528" s="36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8"/>
    </row>
    <row r="529" spans="1:35" x14ac:dyDescent="0.3">
      <c r="A529" s="32" t="str">
        <f t="shared" ref="A529:A592" si="54">IF($K529="", "", ROW()-15)</f>
        <v/>
      </c>
      <c r="B529" s="33" t="str">
        <f t="shared" ref="B529:B592" si="55">IFERROR(IF(ISNUMBER(SEARCH("Q", $K529)), "Q", MID(RIGHT($J529, 4), 1, 1)), "")</f>
        <v/>
      </c>
      <c r="C529" s="33" t="str">
        <f t="shared" ref="C529:C592" si="56">IFERROR(IF(ISNUMBER(SEARCH("Q", $K529)), LEFT($K529, LEN($K529)-15), LEFT($K529, LEN($K529)-8)), "")</f>
        <v/>
      </c>
      <c r="D529" s="34"/>
      <c r="E529" s="33" t="str">
        <f t="shared" ref="E529:E592" si="57">IFERROR(IF($F529="", "", IF($F529="01", "최초", "추가")), " ")</f>
        <v/>
      </c>
      <c r="F529" s="33" t="str">
        <f t="shared" ref="F529:F592" si="58">IFERROR(IF(ISNUMBER(SEARCH("Q", $K529)), MID(RIGHT($K529, 9), 1, 2), RIGHT($K529, 2)), "")</f>
        <v/>
      </c>
      <c r="G529" s="35"/>
      <c r="H529" s="35"/>
      <c r="I529" s="33"/>
      <c r="J529" s="33" t="str">
        <f t="shared" ref="J529:J592" si="59">IFERROR(IF(ISNUMBER(SEARCH("Q", $K529)), LEFT($K529, LEN($K529)-10), LEFT($K529, LEN($K529)-3)), "")</f>
        <v/>
      </c>
      <c r="K529" s="36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8"/>
    </row>
    <row r="530" spans="1:35" x14ac:dyDescent="0.3">
      <c r="A530" s="32" t="str">
        <f t="shared" si="54"/>
        <v/>
      </c>
      <c r="B530" s="33" t="str">
        <f t="shared" si="55"/>
        <v/>
      </c>
      <c r="C530" s="33" t="str">
        <f t="shared" si="56"/>
        <v/>
      </c>
      <c r="D530" s="34"/>
      <c r="E530" s="33" t="str">
        <f t="shared" si="57"/>
        <v/>
      </c>
      <c r="F530" s="33" t="str">
        <f t="shared" si="58"/>
        <v/>
      </c>
      <c r="G530" s="35"/>
      <c r="H530" s="35"/>
      <c r="I530" s="33"/>
      <c r="J530" s="33" t="str">
        <f t="shared" si="59"/>
        <v/>
      </c>
      <c r="K530" s="36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8"/>
    </row>
    <row r="531" spans="1:35" x14ac:dyDescent="0.3">
      <c r="A531" s="32" t="str">
        <f t="shared" si="54"/>
        <v/>
      </c>
      <c r="B531" s="33" t="str">
        <f t="shared" si="55"/>
        <v/>
      </c>
      <c r="C531" s="33" t="str">
        <f t="shared" si="56"/>
        <v/>
      </c>
      <c r="D531" s="34"/>
      <c r="E531" s="33" t="str">
        <f t="shared" si="57"/>
        <v/>
      </c>
      <c r="F531" s="33" t="str">
        <f t="shared" si="58"/>
        <v/>
      </c>
      <c r="G531" s="35"/>
      <c r="H531" s="35"/>
      <c r="I531" s="33"/>
      <c r="J531" s="33" t="str">
        <f t="shared" si="59"/>
        <v/>
      </c>
      <c r="K531" s="36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8"/>
    </row>
    <row r="532" spans="1:35" x14ac:dyDescent="0.3">
      <c r="A532" s="32" t="str">
        <f t="shared" si="54"/>
        <v/>
      </c>
      <c r="B532" s="33" t="str">
        <f t="shared" si="55"/>
        <v/>
      </c>
      <c r="C532" s="33" t="str">
        <f t="shared" si="56"/>
        <v/>
      </c>
      <c r="D532" s="34"/>
      <c r="E532" s="33" t="str">
        <f t="shared" si="57"/>
        <v/>
      </c>
      <c r="F532" s="33" t="str">
        <f t="shared" si="58"/>
        <v/>
      </c>
      <c r="G532" s="35"/>
      <c r="H532" s="35"/>
      <c r="I532" s="33"/>
      <c r="J532" s="33" t="str">
        <f t="shared" si="59"/>
        <v/>
      </c>
      <c r="K532" s="36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8"/>
    </row>
    <row r="533" spans="1:35" x14ac:dyDescent="0.3">
      <c r="A533" s="32" t="str">
        <f t="shared" si="54"/>
        <v/>
      </c>
      <c r="B533" s="33" t="str">
        <f t="shared" si="55"/>
        <v/>
      </c>
      <c r="C533" s="33" t="str">
        <f t="shared" si="56"/>
        <v/>
      </c>
      <c r="D533" s="34"/>
      <c r="E533" s="33" t="str">
        <f t="shared" si="57"/>
        <v/>
      </c>
      <c r="F533" s="33" t="str">
        <f t="shared" si="58"/>
        <v/>
      </c>
      <c r="G533" s="35"/>
      <c r="H533" s="35"/>
      <c r="I533" s="33"/>
      <c r="J533" s="33" t="str">
        <f t="shared" si="59"/>
        <v/>
      </c>
      <c r="K533" s="36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8"/>
    </row>
    <row r="534" spans="1:35" x14ac:dyDescent="0.3">
      <c r="A534" s="32" t="str">
        <f t="shared" si="54"/>
        <v/>
      </c>
      <c r="B534" s="33" t="str">
        <f t="shared" si="55"/>
        <v/>
      </c>
      <c r="C534" s="33" t="str">
        <f t="shared" si="56"/>
        <v/>
      </c>
      <c r="D534" s="34"/>
      <c r="E534" s="33" t="str">
        <f t="shared" si="57"/>
        <v/>
      </c>
      <c r="F534" s="33" t="str">
        <f t="shared" si="58"/>
        <v/>
      </c>
      <c r="G534" s="35"/>
      <c r="H534" s="35"/>
      <c r="I534" s="33"/>
      <c r="J534" s="33" t="str">
        <f t="shared" si="59"/>
        <v/>
      </c>
      <c r="K534" s="36"/>
      <c r="L534" s="37"/>
      <c r="M534" s="37"/>
      <c r="N534" s="37"/>
      <c r="O534" s="37"/>
      <c r="P534" s="37"/>
      <c r="Q534" s="37"/>
      <c r="R534" s="37"/>
      <c r="S534" s="37"/>
      <c r="T534" s="38"/>
      <c r="U534" s="40"/>
      <c r="V534" s="40"/>
      <c r="W534" s="40"/>
      <c r="X534" s="41"/>
      <c r="Y534" s="37"/>
      <c r="Z534" s="37"/>
      <c r="AA534" s="37"/>
      <c r="AB534" s="37"/>
      <c r="AC534" s="37"/>
      <c r="AD534" s="40"/>
      <c r="AE534" s="40"/>
      <c r="AF534" s="40"/>
      <c r="AG534" s="42"/>
      <c r="AH534" s="36"/>
      <c r="AI534" s="36"/>
    </row>
    <row r="535" spans="1:35" x14ac:dyDescent="0.3">
      <c r="A535" s="32" t="str">
        <f t="shared" si="54"/>
        <v/>
      </c>
      <c r="B535" s="33" t="str">
        <f t="shared" si="55"/>
        <v/>
      </c>
      <c r="C535" s="33" t="str">
        <f t="shared" si="56"/>
        <v/>
      </c>
      <c r="D535" s="34"/>
      <c r="E535" s="33" t="str">
        <f t="shared" si="57"/>
        <v/>
      </c>
      <c r="F535" s="33" t="str">
        <f t="shared" si="58"/>
        <v/>
      </c>
      <c r="G535" s="35"/>
      <c r="H535" s="35"/>
      <c r="I535" s="33"/>
      <c r="J535" s="33" t="str">
        <f t="shared" si="59"/>
        <v/>
      </c>
      <c r="K535" s="36"/>
      <c r="L535" s="37"/>
      <c r="M535" s="37"/>
      <c r="N535" s="37"/>
      <c r="O535" s="37"/>
      <c r="P535" s="37"/>
      <c r="Q535" s="37"/>
      <c r="R535" s="37"/>
      <c r="S535" s="37"/>
      <c r="T535" s="38"/>
      <c r="U535" s="40"/>
      <c r="V535" s="40"/>
      <c r="W535" s="40"/>
      <c r="X535" s="41"/>
      <c r="Y535" s="37"/>
      <c r="Z535" s="37"/>
      <c r="AA535" s="37"/>
      <c r="AB535" s="37"/>
      <c r="AC535" s="37"/>
      <c r="AD535" s="40"/>
      <c r="AE535" s="40"/>
      <c r="AF535" s="40"/>
      <c r="AG535" s="42"/>
      <c r="AH535" s="36"/>
      <c r="AI535" s="36"/>
    </row>
    <row r="536" spans="1:35" x14ac:dyDescent="0.3">
      <c r="A536" s="32" t="str">
        <f t="shared" si="54"/>
        <v/>
      </c>
      <c r="B536" s="33" t="str">
        <f t="shared" si="55"/>
        <v/>
      </c>
      <c r="C536" s="33" t="str">
        <f t="shared" si="56"/>
        <v/>
      </c>
      <c r="D536" s="34"/>
      <c r="E536" s="33" t="str">
        <f t="shared" si="57"/>
        <v/>
      </c>
      <c r="F536" s="33" t="str">
        <f t="shared" si="58"/>
        <v/>
      </c>
      <c r="G536" s="35"/>
      <c r="H536" s="35"/>
      <c r="I536" s="33"/>
      <c r="J536" s="33" t="str">
        <f t="shared" si="59"/>
        <v/>
      </c>
      <c r="K536" s="36"/>
      <c r="L536" s="37"/>
      <c r="M536" s="37"/>
      <c r="N536" s="37"/>
      <c r="O536" s="37"/>
      <c r="P536" s="37"/>
      <c r="Q536" s="37"/>
      <c r="R536" s="37"/>
      <c r="S536" s="37"/>
      <c r="T536" s="38"/>
      <c r="U536" s="40"/>
      <c r="V536" s="40"/>
      <c r="W536" s="40"/>
      <c r="X536" s="41"/>
      <c r="Y536" s="37"/>
      <c r="Z536" s="37"/>
      <c r="AA536" s="37"/>
      <c r="AB536" s="37"/>
      <c r="AC536" s="37"/>
      <c r="AD536" s="40"/>
      <c r="AE536" s="40"/>
      <c r="AF536" s="40"/>
      <c r="AG536" s="42"/>
      <c r="AH536" s="36"/>
      <c r="AI536" s="36"/>
    </row>
    <row r="537" spans="1:35" x14ac:dyDescent="0.3">
      <c r="A537" s="32" t="str">
        <f t="shared" si="54"/>
        <v/>
      </c>
      <c r="B537" s="33" t="str">
        <f t="shared" si="55"/>
        <v/>
      </c>
      <c r="C537" s="33" t="str">
        <f t="shared" si="56"/>
        <v/>
      </c>
      <c r="D537" s="34"/>
      <c r="E537" s="33" t="str">
        <f t="shared" si="57"/>
        <v/>
      </c>
      <c r="F537" s="33" t="str">
        <f t="shared" si="58"/>
        <v/>
      </c>
      <c r="G537" s="35"/>
      <c r="H537" s="35"/>
      <c r="I537" s="33"/>
      <c r="J537" s="33" t="str">
        <f t="shared" si="59"/>
        <v/>
      </c>
      <c r="K537" s="36"/>
      <c r="L537" s="37"/>
      <c r="M537" s="37"/>
      <c r="N537" s="37"/>
      <c r="O537" s="37"/>
      <c r="P537" s="37"/>
      <c r="Q537" s="37"/>
      <c r="R537" s="37"/>
      <c r="S537" s="37"/>
      <c r="T537" s="38"/>
      <c r="U537" s="40"/>
      <c r="V537" s="40"/>
      <c r="W537" s="40"/>
      <c r="X537" s="41"/>
      <c r="Y537" s="37"/>
      <c r="Z537" s="37"/>
      <c r="AA537" s="37"/>
      <c r="AB537" s="37"/>
      <c r="AC537" s="37"/>
      <c r="AD537" s="40"/>
      <c r="AE537" s="40"/>
      <c r="AF537" s="40"/>
      <c r="AG537" s="42"/>
      <c r="AH537" s="36"/>
      <c r="AI537" s="36"/>
    </row>
    <row r="538" spans="1:35" x14ac:dyDescent="0.3">
      <c r="A538" s="32" t="str">
        <f t="shared" si="54"/>
        <v/>
      </c>
      <c r="B538" s="33" t="str">
        <f t="shared" si="55"/>
        <v/>
      </c>
      <c r="C538" s="33" t="str">
        <f t="shared" si="56"/>
        <v/>
      </c>
      <c r="D538" s="34"/>
      <c r="E538" s="33" t="str">
        <f t="shared" si="57"/>
        <v/>
      </c>
      <c r="F538" s="33" t="str">
        <f t="shared" si="58"/>
        <v/>
      </c>
      <c r="G538" s="35"/>
      <c r="H538" s="35"/>
      <c r="I538" s="33"/>
      <c r="J538" s="33" t="str">
        <f t="shared" si="59"/>
        <v/>
      </c>
      <c r="K538" s="36"/>
      <c r="L538" s="37"/>
      <c r="M538" s="37"/>
      <c r="N538" s="37"/>
      <c r="O538" s="37"/>
      <c r="P538" s="37"/>
      <c r="Q538" s="37"/>
      <c r="R538" s="37"/>
      <c r="S538" s="37"/>
      <c r="T538" s="38"/>
      <c r="U538" s="40"/>
      <c r="V538" s="40"/>
      <c r="W538" s="40"/>
      <c r="X538" s="41"/>
      <c r="Y538" s="37"/>
      <c r="Z538" s="37"/>
      <c r="AA538" s="37"/>
      <c r="AB538" s="37"/>
      <c r="AC538" s="37"/>
      <c r="AD538" s="40"/>
      <c r="AE538" s="40"/>
      <c r="AF538" s="40"/>
      <c r="AG538" s="42"/>
      <c r="AH538" s="36"/>
      <c r="AI538" s="36"/>
    </row>
    <row r="539" spans="1:35" x14ac:dyDescent="0.3">
      <c r="A539" s="32" t="str">
        <f t="shared" si="54"/>
        <v/>
      </c>
      <c r="B539" s="33" t="str">
        <f t="shared" si="55"/>
        <v/>
      </c>
      <c r="C539" s="33" t="str">
        <f t="shared" si="56"/>
        <v/>
      </c>
      <c r="D539" s="34"/>
      <c r="E539" s="33" t="str">
        <f t="shared" si="57"/>
        <v/>
      </c>
      <c r="F539" s="33" t="str">
        <f t="shared" si="58"/>
        <v/>
      </c>
      <c r="G539" s="35"/>
      <c r="H539" s="35"/>
      <c r="I539" s="33"/>
      <c r="J539" s="33" t="str">
        <f t="shared" si="59"/>
        <v/>
      </c>
      <c r="K539" s="36"/>
      <c r="L539" s="37"/>
      <c r="M539" s="37"/>
      <c r="N539" s="37"/>
      <c r="O539" s="37"/>
      <c r="P539" s="37"/>
      <c r="Q539" s="37"/>
      <c r="R539" s="37"/>
      <c r="S539" s="37"/>
      <c r="T539" s="38"/>
      <c r="U539" s="40"/>
      <c r="V539" s="40"/>
      <c r="W539" s="40"/>
      <c r="X539" s="41"/>
      <c r="Y539" s="37"/>
      <c r="Z539" s="37"/>
      <c r="AA539" s="37"/>
      <c r="AB539" s="37"/>
      <c r="AC539" s="37"/>
      <c r="AD539" s="40"/>
      <c r="AE539" s="40"/>
      <c r="AF539" s="40"/>
      <c r="AG539" s="42"/>
      <c r="AH539" s="36"/>
      <c r="AI539" s="36"/>
    </row>
    <row r="540" spans="1:35" x14ac:dyDescent="0.3">
      <c r="A540" s="32" t="str">
        <f t="shared" si="54"/>
        <v/>
      </c>
      <c r="B540" s="33" t="str">
        <f t="shared" si="55"/>
        <v/>
      </c>
      <c r="C540" s="33" t="str">
        <f t="shared" si="56"/>
        <v/>
      </c>
      <c r="D540" s="34"/>
      <c r="E540" s="33" t="str">
        <f t="shared" si="57"/>
        <v/>
      </c>
      <c r="F540" s="33" t="str">
        <f t="shared" si="58"/>
        <v/>
      </c>
      <c r="G540" s="35"/>
      <c r="H540" s="35"/>
      <c r="I540" s="33"/>
      <c r="J540" s="33" t="str">
        <f t="shared" si="59"/>
        <v/>
      </c>
      <c r="K540" s="36"/>
      <c r="L540" s="37"/>
      <c r="M540" s="37"/>
      <c r="N540" s="37"/>
      <c r="O540" s="37"/>
      <c r="P540" s="37"/>
      <c r="Q540" s="37"/>
      <c r="R540" s="37"/>
      <c r="S540" s="37"/>
      <c r="T540" s="38"/>
      <c r="U540" s="40"/>
      <c r="V540" s="40"/>
      <c r="W540" s="40"/>
      <c r="X540" s="41"/>
      <c r="Y540" s="37"/>
      <c r="Z540" s="37"/>
      <c r="AA540" s="37"/>
      <c r="AB540" s="37"/>
      <c r="AC540" s="37"/>
      <c r="AD540" s="40"/>
      <c r="AE540" s="40"/>
      <c r="AF540" s="40"/>
      <c r="AG540" s="42"/>
      <c r="AH540" s="36"/>
      <c r="AI540" s="36"/>
    </row>
    <row r="541" spans="1:35" x14ac:dyDescent="0.3">
      <c r="A541" s="32" t="str">
        <f t="shared" si="54"/>
        <v/>
      </c>
      <c r="B541" s="33" t="str">
        <f t="shared" si="55"/>
        <v/>
      </c>
      <c r="C541" s="33" t="str">
        <f t="shared" si="56"/>
        <v/>
      </c>
      <c r="D541" s="34"/>
      <c r="E541" s="33" t="str">
        <f t="shared" si="57"/>
        <v/>
      </c>
      <c r="F541" s="33" t="str">
        <f t="shared" si="58"/>
        <v/>
      </c>
      <c r="G541" s="35"/>
      <c r="H541" s="35"/>
      <c r="I541" s="33"/>
      <c r="J541" s="33" t="str">
        <f t="shared" si="59"/>
        <v/>
      </c>
      <c r="K541" s="36"/>
      <c r="L541" s="37"/>
      <c r="M541" s="37"/>
      <c r="N541" s="37"/>
      <c r="O541" s="37"/>
      <c r="P541" s="37"/>
      <c r="Q541" s="37"/>
      <c r="R541" s="37"/>
      <c r="S541" s="37"/>
      <c r="T541" s="38"/>
      <c r="U541" s="40"/>
      <c r="V541" s="40"/>
      <c r="W541" s="40"/>
      <c r="X541" s="41"/>
      <c r="Y541" s="37"/>
      <c r="Z541" s="37"/>
      <c r="AA541" s="37"/>
      <c r="AB541" s="37"/>
      <c r="AC541" s="37"/>
      <c r="AD541" s="40"/>
      <c r="AE541" s="40"/>
      <c r="AF541" s="40"/>
      <c r="AG541" s="42"/>
      <c r="AH541" s="36"/>
      <c r="AI541" s="36"/>
    </row>
    <row r="542" spans="1:35" x14ac:dyDescent="0.3">
      <c r="A542" s="32" t="str">
        <f t="shared" si="54"/>
        <v/>
      </c>
      <c r="B542" s="33" t="str">
        <f t="shared" si="55"/>
        <v/>
      </c>
      <c r="C542" s="33" t="str">
        <f t="shared" si="56"/>
        <v/>
      </c>
      <c r="D542" s="34"/>
      <c r="E542" s="33" t="str">
        <f t="shared" si="57"/>
        <v/>
      </c>
      <c r="F542" s="33" t="str">
        <f t="shared" si="58"/>
        <v/>
      </c>
      <c r="G542" s="35"/>
      <c r="H542" s="35"/>
      <c r="I542" s="33"/>
      <c r="J542" s="33" t="str">
        <f t="shared" si="59"/>
        <v/>
      </c>
      <c r="K542" s="36"/>
      <c r="L542" s="37"/>
      <c r="M542" s="37"/>
      <c r="N542" s="37"/>
      <c r="O542" s="37"/>
      <c r="P542" s="37"/>
      <c r="Q542" s="37"/>
      <c r="R542" s="37"/>
      <c r="S542" s="37"/>
      <c r="T542" s="38"/>
      <c r="U542" s="40"/>
      <c r="V542" s="40"/>
      <c r="W542" s="40"/>
      <c r="X542" s="41"/>
      <c r="Y542" s="37"/>
      <c r="Z542" s="37"/>
      <c r="AA542" s="37"/>
      <c r="AB542" s="37"/>
      <c r="AC542" s="37"/>
      <c r="AD542" s="40"/>
      <c r="AE542" s="40"/>
      <c r="AF542" s="40"/>
      <c r="AG542" s="42"/>
      <c r="AH542" s="36"/>
      <c r="AI542" s="36"/>
    </row>
    <row r="543" spans="1:35" x14ac:dyDescent="0.3">
      <c r="A543" s="32" t="str">
        <f t="shared" si="54"/>
        <v/>
      </c>
      <c r="B543" s="33" t="str">
        <f t="shared" si="55"/>
        <v/>
      </c>
      <c r="C543" s="33" t="str">
        <f t="shared" si="56"/>
        <v/>
      </c>
      <c r="D543" s="34"/>
      <c r="E543" s="33" t="str">
        <f t="shared" si="57"/>
        <v/>
      </c>
      <c r="F543" s="33" t="str">
        <f t="shared" si="58"/>
        <v/>
      </c>
      <c r="G543" s="35"/>
      <c r="H543" s="35"/>
      <c r="I543" s="33"/>
      <c r="J543" s="33" t="str">
        <f t="shared" si="59"/>
        <v/>
      </c>
      <c r="K543" s="36"/>
      <c r="L543" s="37"/>
      <c r="M543" s="37"/>
      <c r="N543" s="37"/>
      <c r="O543" s="37"/>
      <c r="P543" s="37"/>
      <c r="Q543" s="37"/>
      <c r="R543" s="37"/>
      <c r="S543" s="37"/>
      <c r="T543" s="38"/>
      <c r="U543" s="40"/>
      <c r="V543" s="40"/>
      <c r="W543" s="40"/>
      <c r="X543" s="41"/>
      <c r="Y543" s="37"/>
      <c r="Z543" s="37"/>
      <c r="AA543" s="37"/>
      <c r="AB543" s="37"/>
      <c r="AC543" s="37"/>
      <c r="AD543" s="40"/>
      <c r="AE543" s="40"/>
      <c r="AF543" s="40"/>
      <c r="AG543" s="42"/>
      <c r="AH543" s="36"/>
      <c r="AI543" s="36"/>
    </row>
    <row r="544" spans="1:35" x14ac:dyDescent="0.3">
      <c r="A544" s="32" t="str">
        <f t="shared" si="54"/>
        <v/>
      </c>
      <c r="B544" s="33" t="str">
        <f t="shared" si="55"/>
        <v/>
      </c>
      <c r="C544" s="33" t="str">
        <f t="shared" si="56"/>
        <v/>
      </c>
      <c r="D544" s="34"/>
      <c r="E544" s="33" t="str">
        <f t="shared" si="57"/>
        <v/>
      </c>
      <c r="F544" s="33" t="str">
        <f t="shared" si="58"/>
        <v/>
      </c>
      <c r="G544" s="35"/>
      <c r="H544" s="35"/>
      <c r="I544" s="33"/>
      <c r="J544" s="33" t="str">
        <f t="shared" si="59"/>
        <v/>
      </c>
      <c r="K544" s="36"/>
      <c r="L544" s="37"/>
      <c r="M544" s="37"/>
      <c r="N544" s="37"/>
      <c r="O544" s="37"/>
      <c r="P544" s="37"/>
      <c r="Q544" s="37"/>
      <c r="R544" s="37"/>
      <c r="S544" s="37"/>
      <c r="T544" s="38"/>
      <c r="U544" s="40"/>
      <c r="V544" s="40"/>
      <c r="W544" s="40"/>
      <c r="X544" s="41"/>
      <c r="Y544" s="37"/>
      <c r="Z544" s="37"/>
      <c r="AA544" s="37"/>
      <c r="AB544" s="37"/>
      <c r="AC544" s="37"/>
      <c r="AD544" s="40"/>
      <c r="AE544" s="40"/>
      <c r="AF544" s="40"/>
      <c r="AG544" s="42"/>
      <c r="AH544" s="36"/>
      <c r="AI544" s="36"/>
    </row>
    <row r="545" spans="1:35" x14ac:dyDescent="0.3">
      <c r="A545" s="32" t="str">
        <f t="shared" si="54"/>
        <v/>
      </c>
      <c r="B545" s="33" t="str">
        <f t="shared" si="55"/>
        <v/>
      </c>
      <c r="C545" s="33" t="str">
        <f t="shared" si="56"/>
        <v/>
      </c>
      <c r="D545" s="34"/>
      <c r="E545" s="33" t="str">
        <f t="shared" si="57"/>
        <v/>
      </c>
      <c r="F545" s="33" t="str">
        <f t="shared" si="58"/>
        <v/>
      </c>
      <c r="G545" s="35"/>
      <c r="H545" s="35"/>
      <c r="I545" s="33"/>
      <c r="J545" s="33" t="str">
        <f t="shared" si="59"/>
        <v/>
      </c>
      <c r="K545" s="36"/>
      <c r="L545" s="37"/>
      <c r="M545" s="37"/>
      <c r="N545" s="37"/>
      <c r="O545" s="37"/>
      <c r="P545" s="37"/>
      <c r="Q545" s="37"/>
      <c r="R545" s="37"/>
      <c r="S545" s="37"/>
      <c r="T545" s="38"/>
      <c r="U545" s="40"/>
      <c r="V545" s="40"/>
      <c r="W545" s="40"/>
      <c r="X545" s="41"/>
      <c r="Y545" s="37"/>
      <c r="Z545" s="37"/>
      <c r="AA545" s="37"/>
      <c r="AB545" s="37"/>
      <c r="AC545" s="37"/>
      <c r="AD545" s="40"/>
      <c r="AE545" s="40"/>
      <c r="AF545" s="40"/>
      <c r="AG545" s="42"/>
      <c r="AH545" s="36"/>
      <c r="AI545" s="36"/>
    </row>
    <row r="546" spans="1:35" x14ac:dyDescent="0.3">
      <c r="A546" s="32" t="str">
        <f t="shared" si="54"/>
        <v/>
      </c>
      <c r="B546" s="33" t="str">
        <f t="shared" si="55"/>
        <v/>
      </c>
      <c r="C546" s="33" t="str">
        <f t="shared" si="56"/>
        <v/>
      </c>
      <c r="D546" s="34"/>
      <c r="E546" s="33" t="str">
        <f t="shared" si="57"/>
        <v/>
      </c>
      <c r="F546" s="33" t="str">
        <f t="shared" si="58"/>
        <v/>
      </c>
      <c r="G546" s="35"/>
      <c r="H546" s="35"/>
      <c r="I546" s="33"/>
      <c r="J546" s="33" t="str">
        <f t="shared" si="59"/>
        <v/>
      </c>
      <c r="K546" s="36"/>
      <c r="L546" s="37"/>
      <c r="M546" s="37"/>
      <c r="N546" s="37"/>
      <c r="O546" s="37"/>
      <c r="P546" s="37"/>
      <c r="Q546" s="37"/>
      <c r="R546" s="37"/>
      <c r="S546" s="37"/>
      <c r="T546" s="38"/>
      <c r="U546" s="40"/>
      <c r="V546" s="40"/>
      <c r="W546" s="40"/>
      <c r="X546" s="41"/>
      <c r="Y546" s="37"/>
      <c r="Z546" s="37"/>
      <c r="AA546" s="37"/>
      <c r="AB546" s="37"/>
      <c r="AC546" s="37"/>
      <c r="AD546" s="40"/>
      <c r="AE546" s="40"/>
      <c r="AF546" s="40"/>
      <c r="AG546" s="42"/>
      <c r="AH546" s="36"/>
      <c r="AI546" s="36"/>
    </row>
    <row r="547" spans="1:35" x14ac:dyDescent="0.3">
      <c r="A547" s="32" t="str">
        <f t="shared" si="54"/>
        <v/>
      </c>
      <c r="B547" s="33" t="str">
        <f t="shared" si="55"/>
        <v/>
      </c>
      <c r="C547" s="33" t="str">
        <f t="shared" si="56"/>
        <v/>
      </c>
      <c r="D547" s="34"/>
      <c r="E547" s="33" t="str">
        <f t="shared" si="57"/>
        <v/>
      </c>
      <c r="F547" s="33" t="str">
        <f t="shared" si="58"/>
        <v/>
      </c>
      <c r="G547" s="35"/>
      <c r="H547" s="35"/>
      <c r="I547" s="33"/>
      <c r="J547" s="33" t="str">
        <f t="shared" si="59"/>
        <v/>
      </c>
      <c r="K547" s="36"/>
      <c r="L547" s="37"/>
      <c r="M547" s="37"/>
      <c r="N547" s="37"/>
      <c r="O547" s="37"/>
      <c r="P547" s="37"/>
      <c r="Q547" s="37"/>
      <c r="R547" s="37"/>
      <c r="S547" s="37"/>
      <c r="T547" s="38"/>
      <c r="U547" s="40"/>
      <c r="V547" s="40"/>
      <c r="W547" s="40"/>
      <c r="X547" s="41"/>
      <c r="Y547" s="37"/>
      <c r="Z547" s="37"/>
      <c r="AA547" s="37"/>
      <c r="AB547" s="37"/>
      <c r="AC547" s="37"/>
      <c r="AD547" s="40"/>
      <c r="AE547" s="40"/>
      <c r="AF547" s="40"/>
      <c r="AG547" s="42"/>
      <c r="AH547" s="36"/>
      <c r="AI547" s="36"/>
    </row>
    <row r="548" spans="1:35" x14ac:dyDescent="0.3">
      <c r="A548" s="32" t="str">
        <f t="shared" si="54"/>
        <v/>
      </c>
      <c r="B548" s="33" t="str">
        <f t="shared" si="55"/>
        <v/>
      </c>
      <c r="C548" s="33" t="str">
        <f t="shared" si="56"/>
        <v/>
      </c>
      <c r="D548" s="34"/>
      <c r="E548" s="33" t="str">
        <f t="shared" si="57"/>
        <v/>
      </c>
      <c r="F548" s="33" t="str">
        <f t="shared" si="58"/>
        <v/>
      </c>
      <c r="G548" s="35"/>
      <c r="H548" s="35"/>
      <c r="I548" s="33"/>
      <c r="J548" s="33" t="str">
        <f t="shared" si="59"/>
        <v/>
      </c>
      <c r="K548" s="36"/>
      <c r="L548" s="37"/>
      <c r="M548" s="37"/>
      <c r="N548" s="37"/>
      <c r="O548" s="37"/>
      <c r="P548" s="37"/>
      <c r="Q548" s="37"/>
      <c r="R548" s="37"/>
      <c r="S548" s="37"/>
      <c r="T548" s="38"/>
      <c r="U548" s="40"/>
      <c r="V548" s="40"/>
      <c r="W548" s="40"/>
      <c r="X548" s="41"/>
      <c r="Y548" s="37"/>
      <c r="Z548" s="37"/>
      <c r="AA548" s="37"/>
      <c r="AB548" s="37"/>
      <c r="AC548" s="37"/>
      <c r="AD548" s="40"/>
      <c r="AE548" s="40"/>
      <c r="AF548" s="40"/>
      <c r="AG548" s="42"/>
      <c r="AH548" s="36"/>
      <c r="AI548" s="36"/>
    </row>
    <row r="549" spans="1:35" x14ac:dyDescent="0.3">
      <c r="A549" s="32" t="str">
        <f t="shared" si="54"/>
        <v/>
      </c>
      <c r="B549" s="33" t="str">
        <f t="shared" si="55"/>
        <v/>
      </c>
      <c r="C549" s="33" t="str">
        <f t="shared" si="56"/>
        <v/>
      </c>
      <c r="D549" s="34"/>
      <c r="E549" s="33" t="str">
        <f t="shared" si="57"/>
        <v/>
      </c>
      <c r="F549" s="33" t="str">
        <f t="shared" si="58"/>
        <v/>
      </c>
      <c r="G549" s="35"/>
      <c r="H549" s="35"/>
      <c r="I549" s="33"/>
      <c r="J549" s="33" t="str">
        <f t="shared" si="59"/>
        <v/>
      </c>
      <c r="K549" s="36"/>
      <c r="L549" s="37"/>
      <c r="M549" s="37"/>
      <c r="N549" s="37"/>
      <c r="O549" s="37"/>
      <c r="P549" s="37"/>
      <c r="Q549" s="37"/>
      <c r="R549" s="37"/>
      <c r="S549" s="37"/>
      <c r="T549" s="38"/>
      <c r="U549" s="40"/>
      <c r="V549" s="40"/>
      <c r="W549" s="40"/>
      <c r="X549" s="41"/>
      <c r="Y549" s="37"/>
      <c r="Z549" s="37"/>
      <c r="AA549" s="37"/>
      <c r="AB549" s="37"/>
      <c r="AC549" s="37"/>
      <c r="AD549" s="40"/>
      <c r="AE549" s="40"/>
      <c r="AF549" s="40"/>
      <c r="AG549" s="42"/>
      <c r="AH549" s="36"/>
      <c r="AI549" s="36"/>
    </row>
    <row r="550" spans="1:35" x14ac:dyDescent="0.3">
      <c r="A550" s="32" t="str">
        <f t="shared" si="54"/>
        <v/>
      </c>
      <c r="B550" s="33" t="str">
        <f t="shared" si="55"/>
        <v/>
      </c>
      <c r="C550" s="33" t="str">
        <f t="shared" si="56"/>
        <v/>
      </c>
      <c r="D550" s="34"/>
      <c r="E550" s="33" t="str">
        <f t="shared" si="57"/>
        <v/>
      </c>
      <c r="F550" s="33" t="str">
        <f t="shared" si="58"/>
        <v/>
      </c>
      <c r="G550" s="35"/>
      <c r="H550" s="35"/>
      <c r="I550" s="33"/>
      <c r="J550" s="33" t="str">
        <f t="shared" si="59"/>
        <v/>
      </c>
      <c r="K550" s="36"/>
      <c r="L550" s="37"/>
      <c r="M550" s="37"/>
      <c r="N550" s="37"/>
      <c r="O550" s="37"/>
      <c r="P550" s="37"/>
      <c r="Q550" s="37"/>
      <c r="R550" s="37"/>
      <c r="S550" s="37"/>
      <c r="T550" s="38"/>
      <c r="U550" s="40"/>
      <c r="V550" s="40"/>
      <c r="W550" s="40"/>
      <c r="X550" s="41"/>
      <c r="Y550" s="37"/>
      <c r="Z550" s="37"/>
      <c r="AA550" s="37"/>
      <c r="AB550" s="37"/>
      <c r="AC550" s="37"/>
      <c r="AD550" s="40"/>
      <c r="AE550" s="40"/>
      <c r="AF550" s="40"/>
      <c r="AG550" s="42"/>
      <c r="AH550" s="36"/>
      <c r="AI550" s="36"/>
    </row>
    <row r="551" spans="1:35" x14ac:dyDescent="0.3">
      <c r="A551" s="32" t="str">
        <f t="shared" si="54"/>
        <v/>
      </c>
      <c r="B551" s="33" t="str">
        <f t="shared" si="55"/>
        <v/>
      </c>
      <c r="C551" s="33" t="str">
        <f t="shared" si="56"/>
        <v/>
      </c>
      <c r="D551" s="34"/>
      <c r="E551" s="33" t="str">
        <f t="shared" si="57"/>
        <v/>
      </c>
      <c r="F551" s="33" t="str">
        <f t="shared" si="58"/>
        <v/>
      </c>
      <c r="G551" s="35"/>
      <c r="H551" s="35"/>
      <c r="I551" s="33"/>
      <c r="J551" s="33" t="str">
        <f t="shared" si="59"/>
        <v/>
      </c>
      <c r="K551" s="36"/>
      <c r="L551" s="37"/>
      <c r="M551" s="37"/>
      <c r="N551" s="37"/>
      <c r="O551" s="37"/>
      <c r="P551" s="37"/>
      <c r="Q551" s="37"/>
      <c r="R551" s="37"/>
      <c r="S551" s="37"/>
      <c r="T551" s="38"/>
      <c r="U551" s="40"/>
      <c r="V551" s="40"/>
      <c r="W551" s="40"/>
      <c r="X551" s="41"/>
      <c r="Y551" s="37"/>
      <c r="Z551" s="37"/>
      <c r="AA551" s="37"/>
      <c r="AB551" s="37"/>
      <c r="AC551" s="37"/>
      <c r="AD551" s="40"/>
      <c r="AE551" s="40"/>
      <c r="AF551" s="40"/>
      <c r="AG551" s="42"/>
      <c r="AH551" s="36"/>
      <c r="AI551" s="36"/>
    </row>
    <row r="552" spans="1:35" x14ac:dyDescent="0.3">
      <c r="A552" s="32" t="str">
        <f t="shared" si="54"/>
        <v/>
      </c>
      <c r="B552" s="33" t="str">
        <f t="shared" si="55"/>
        <v/>
      </c>
      <c r="C552" s="33" t="str">
        <f t="shared" si="56"/>
        <v/>
      </c>
      <c r="D552" s="34"/>
      <c r="E552" s="33" t="str">
        <f t="shared" si="57"/>
        <v/>
      </c>
      <c r="F552" s="33" t="str">
        <f t="shared" si="58"/>
        <v/>
      </c>
      <c r="G552" s="35"/>
      <c r="H552" s="35"/>
      <c r="I552" s="33"/>
      <c r="J552" s="33" t="str">
        <f t="shared" si="59"/>
        <v/>
      </c>
      <c r="K552" s="36"/>
      <c r="L552" s="37"/>
      <c r="M552" s="37"/>
      <c r="N552" s="37"/>
      <c r="O552" s="37"/>
      <c r="P552" s="37"/>
      <c r="Q552" s="37"/>
      <c r="R552" s="37"/>
      <c r="S552" s="37"/>
      <c r="T552" s="38"/>
      <c r="U552" s="40"/>
      <c r="V552" s="40"/>
      <c r="W552" s="40"/>
      <c r="X552" s="41"/>
      <c r="Y552" s="37"/>
      <c r="Z552" s="37"/>
      <c r="AA552" s="37"/>
      <c r="AB552" s="37"/>
      <c r="AC552" s="37"/>
      <c r="AD552" s="40"/>
      <c r="AE552" s="40"/>
      <c r="AF552" s="40"/>
      <c r="AG552" s="42"/>
      <c r="AH552" s="36"/>
      <c r="AI552" s="36"/>
    </row>
    <row r="553" spans="1:35" x14ac:dyDescent="0.3">
      <c r="A553" s="32" t="str">
        <f t="shared" si="54"/>
        <v/>
      </c>
      <c r="B553" s="33" t="str">
        <f t="shared" si="55"/>
        <v/>
      </c>
      <c r="C553" s="33" t="str">
        <f t="shared" si="56"/>
        <v/>
      </c>
      <c r="D553" s="34"/>
      <c r="E553" s="33" t="str">
        <f t="shared" si="57"/>
        <v/>
      </c>
      <c r="F553" s="33" t="str">
        <f t="shared" si="58"/>
        <v/>
      </c>
      <c r="G553" s="35"/>
      <c r="H553" s="35"/>
      <c r="I553" s="33"/>
      <c r="J553" s="33" t="str">
        <f t="shared" si="59"/>
        <v/>
      </c>
      <c r="K553" s="36"/>
      <c r="L553" s="37"/>
      <c r="M553" s="37"/>
      <c r="N553" s="37"/>
      <c r="O553" s="37"/>
      <c r="P553" s="37"/>
      <c r="Q553" s="37"/>
      <c r="R553" s="37"/>
      <c r="S553" s="37"/>
      <c r="T553" s="38"/>
      <c r="U553" s="40"/>
      <c r="V553" s="40"/>
      <c r="W553" s="40"/>
      <c r="X553" s="41"/>
      <c r="Y553" s="37"/>
      <c r="Z553" s="37"/>
      <c r="AA553" s="37"/>
      <c r="AB553" s="37"/>
      <c r="AC553" s="37"/>
      <c r="AD553" s="40"/>
      <c r="AE553" s="40"/>
      <c r="AF553" s="40"/>
      <c r="AG553" s="42"/>
      <c r="AH553" s="36"/>
      <c r="AI553" s="36"/>
    </row>
    <row r="554" spans="1:35" x14ac:dyDescent="0.3">
      <c r="A554" s="32" t="str">
        <f t="shared" si="54"/>
        <v/>
      </c>
      <c r="B554" s="33" t="str">
        <f t="shared" si="55"/>
        <v/>
      </c>
      <c r="C554" s="33" t="str">
        <f t="shared" si="56"/>
        <v/>
      </c>
      <c r="D554" s="34"/>
      <c r="E554" s="33" t="str">
        <f t="shared" si="57"/>
        <v/>
      </c>
      <c r="F554" s="33" t="str">
        <f t="shared" si="58"/>
        <v/>
      </c>
      <c r="G554" s="35"/>
      <c r="H554" s="35"/>
      <c r="I554" s="33"/>
      <c r="J554" s="33" t="str">
        <f t="shared" si="59"/>
        <v/>
      </c>
      <c r="K554" s="36"/>
      <c r="L554" s="37"/>
      <c r="M554" s="37"/>
      <c r="N554" s="37"/>
      <c r="O554" s="37"/>
      <c r="P554" s="37"/>
      <c r="Q554" s="37"/>
      <c r="R554" s="37"/>
      <c r="S554" s="37"/>
      <c r="T554" s="38"/>
      <c r="U554" s="40"/>
      <c r="V554" s="40"/>
      <c r="W554" s="40"/>
      <c r="X554" s="41"/>
      <c r="Y554" s="37"/>
      <c r="Z554" s="37"/>
      <c r="AA554" s="37"/>
      <c r="AB554" s="37"/>
      <c r="AC554" s="37"/>
      <c r="AD554" s="40"/>
      <c r="AE554" s="40"/>
      <c r="AF554" s="40"/>
      <c r="AG554" s="42"/>
      <c r="AH554" s="36"/>
      <c r="AI554" s="36"/>
    </row>
    <row r="555" spans="1:35" x14ac:dyDescent="0.3">
      <c r="A555" s="32" t="str">
        <f t="shared" si="54"/>
        <v/>
      </c>
      <c r="B555" s="33" t="str">
        <f t="shared" si="55"/>
        <v/>
      </c>
      <c r="C555" s="33" t="str">
        <f t="shared" si="56"/>
        <v/>
      </c>
      <c r="D555" s="34"/>
      <c r="E555" s="33" t="str">
        <f t="shared" si="57"/>
        <v/>
      </c>
      <c r="F555" s="33" t="str">
        <f t="shared" si="58"/>
        <v/>
      </c>
      <c r="G555" s="35"/>
      <c r="H555" s="35"/>
      <c r="I555" s="33"/>
      <c r="J555" s="33" t="str">
        <f t="shared" si="59"/>
        <v/>
      </c>
      <c r="K555" s="36"/>
      <c r="L555" s="37"/>
      <c r="M555" s="37"/>
      <c r="N555" s="37"/>
      <c r="O555" s="37"/>
      <c r="P555" s="37"/>
      <c r="Q555" s="37"/>
      <c r="R555" s="37"/>
      <c r="S555" s="37"/>
      <c r="T555" s="38"/>
      <c r="U555" s="40"/>
      <c r="V555" s="40"/>
      <c r="W555" s="40"/>
      <c r="X555" s="41"/>
      <c r="Y555" s="37"/>
      <c r="Z555" s="37"/>
      <c r="AA555" s="37"/>
      <c r="AB555" s="37"/>
      <c r="AC555" s="37"/>
      <c r="AD555" s="40"/>
      <c r="AE555" s="40"/>
      <c r="AF555" s="40"/>
      <c r="AG555" s="42"/>
      <c r="AH555" s="36"/>
      <c r="AI555" s="36"/>
    </row>
    <row r="556" spans="1:35" x14ac:dyDescent="0.3">
      <c r="A556" s="32" t="str">
        <f t="shared" si="54"/>
        <v/>
      </c>
      <c r="B556" s="33" t="str">
        <f t="shared" si="55"/>
        <v/>
      </c>
      <c r="C556" s="33" t="str">
        <f t="shared" si="56"/>
        <v/>
      </c>
      <c r="D556" s="34"/>
      <c r="E556" s="33" t="str">
        <f t="shared" si="57"/>
        <v/>
      </c>
      <c r="F556" s="33" t="str">
        <f t="shared" si="58"/>
        <v/>
      </c>
      <c r="G556" s="35"/>
      <c r="H556" s="35"/>
      <c r="I556" s="33"/>
      <c r="J556" s="33" t="str">
        <f t="shared" si="59"/>
        <v/>
      </c>
      <c r="K556" s="36"/>
      <c r="L556" s="37"/>
      <c r="M556" s="37"/>
      <c r="N556" s="37"/>
      <c r="O556" s="37"/>
      <c r="P556" s="37"/>
      <c r="Q556" s="37"/>
      <c r="R556" s="37"/>
      <c r="S556" s="37"/>
      <c r="T556" s="38"/>
      <c r="U556" s="40"/>
      <c r="V556" s="40"/>
      <c r="W556" s="40"/>
      <c r="X556" s="41"/>
      <c r="Y556" s="37"/>
      <c r="Z556" s="37"/>
      <c r="AA556" s="37"/>
      <c r="AB556" s="37"/>
      <c r="AC556" s="37"/>
      <c r="AD556" s="40"/>
      <c r="AE556" s="40"/>
      <c r="AF556" s="40"/>
      <c r="AG556" s="42"/>
      <c r="AH556" s="36"/>
      <c r="AI556" s="36"/>
    </row>
    <row r="557" spans="1:35" x14ac:dyDescent="0.3">
      <c r="A557" s="32" t="str">
        <f t="shared" si="54"/>
        <v/>
      </c>
      <c r="B557" s="33" t="str">
        <f t="shared" si="55"/>
        <v/>
      </c>
      <c r="C557" s="33" t="str">
        <f t="shared" si="56"/>
        <v/>
      </c>
      <c r="D557" s="34"/>
      <c r="E557" s="33" t="str">
        <f t="shared" si="57"/>
        <v/>
      </c>
      <c r="F557" s="33" t="str">
        <f t="shared" si="58"/>
        <v/>
      </c>
      <c r="G557" s="35"/>
      <c r="H557" s="35"/>
      <c r="I557" s="33"/>
      <c r="J557" s="33" t="str">
        <f t="shared" si="59"/>
        <v/>
      </c>
      <c r="K557" s="36"/>
      <c r="L557" s="37"/>
      <c r="M557" s="37"/>
      <c r="N557" s="37"/>
      <c r="O557" s="37"/>
      <c r="P557" s="37"/>
      <c r="Q557" s="37"/>
      <c r="R557" s="37"/>
      <c r="S557" s="37"/>
      <c r="T557" s="38"/>
      <c r="U557" s="40"/>
      <c r="V557" s="40"/>
      <c r="W557" s="40"/>
      <c r="X557" s="41"/>
      <c r="Y557" s="37"/>
      <c r="Z557" s="37"/>
      <c r="AA557" s="37"/>
      <c r="AB557" s="37"/>
      <c r="AC557" s="37"/>
      <c r="AD557" s="40"/>
      <c r="AE557" s="40"/>
      <c r="AF557" s="40"/>
      <c r="AG557" s="42"/>
      <c r="AH557" s="36"/>
      <c r="AI557" s="36"/>
    </row>
    <row r="558" spans="1:35" x14ac:dyDescent="0.3">
      <c r="A558" s="32" t="str">
        <f t="shared" si="54"/>
        <v/>
      </c>
      <c r="B558" s="33" t="str">
        <f t="shared" si="55"/>
        <v/>
      </c>
      <c r="C558" s="33" t="str">
        <f t="shared" si="56"/>
        <v/>
      </c>
      <c r="D558" s="34"/>
      <c r="E558" s="33" t="str">
        <f t="shared" si="57"/>
        <v/>
      </c>
      <c r="F558" s="33" t="str">
        <f t="shared" si="58"/>
        <v/>
      </c>
      <c r="G558" s="35"/>
      <c r="H558" s="35"/>
      <c r="I558" s="33"/>
      <c r="J558" s="33" t="str">
        <f t="shared" si="59"/>
        <v/>
      </c>
      <c r="K558" s="36"/>
      <c r="L558" s="37"/>
      <c r="M558" s="37"/>
      <c r="N558" s="37"/>
      <c r="O558" s="37"/>
      <c r="P558" s="37"/>
      <c r="Q558" s="37"/>
      <c r="R558" s="37"/>
      <c r="S558" s="37"/>
      <c r="T558" s="38"/>
      <c r="U558" s="40"/>
      <c r="V558" s="40"/>
      <c r="W558" s="40"/>
      <c r="X558" s="41"/>
      <c r="Y558" s="37"/>
      <c r="Z558" s="37"/>
      <c r="AA558" s="37"/>
      <c r="AB558" s="37"/>
      <c r="AC558" s="37"/>
      <c r="AD558" s="40"/>
      <c r="AE558" s="40"/>
      <c r="AF558" s="40"/>
      <c r="AG558" s="42"/>
      <c r="AH558" s="36"/>
      <c r="AI558" s="36"/>
    </row>
    <row r="559" spans="1:35" x14ac:dyDescent="0.3">
      <c r="A559" s="32" t="str">
        <f t="shared" si="54"/>
        <v/>
      </c>
      <c r="B559" s="33" t="str">
        <f t="shared" si="55"/>
        <v/>
      </c>
      <c r="C559" s="33" t="str">
        <f t="shared" si="56"/>
        <v/>
      </c>
      <c r="D559" s="34"/>
      <c r="E559" s="33" t="str">
        <f t="shared" si="57"/>
        <v/>
      </c>
      <c r="F559" s="33" t="str">
        <f t="shared" si="58"/>
        <v/>
      </c>
      <c r="G559" s="35"/>
      <c r="H559" s="35"/>
      <c r="I559" s="33"/>
      <c r="J559" s="33" t="str">
        <f t="shared" si="59"/>
        <v/>
      </c>
      <c r="K559" s="36"/>
      <c r="L559" s="37"/>
      <c r="M559" s="37"/>
      <c r="N559" s="37"/>
      <c r="O559" s="37"/>
      <c r="P559" s="37"/>
      <c r="Q559" s="37"/>
      <c r="R559" s="37"/>
      <c r="S559" s="37"/>
      <c r="T559" s="38"/>
      <c r="U559" s="40"/>
      <c r="V559" s="40"/>
      <c r="W559" s="40"/>
      <c r="X559" s="41"/>
      <c r="Y559" s="37"/>
      <c r="Z559" s="37"/>
      <c r="AA559" s="37"/>
      <c r="AB559" s="37"/>
      <c r="AC559" s="37"/>
      <c r="AD559" s="40"/>
      <c r="AE559" s="40"/>
      <c r="AF559" s="40"/>
      <c r="AG559" s="42"/>
      <c r="AH559" s="36"/>
      <c r="AI559" s="36"/>
    </row>
    <row r="560" spans="1:35" x14ac:dyDescent="0.3">
      <c r="A560" s="32" t="str">
        <f t="shared" si="54"/>
        <v/>
      </c>
      <c r="B560" s="33" t="str">
        <f t="shared" si="55"/>
        <v/>
      </c>
      <c r="C560" s="33" t="str">
        <f t="shared" si="56"/>
        <v/>
      </c>
      <c r="D560" s="34"/>
      <c r="E560" s="33" t="str">
        <f t="shared" si="57"/>
        <v/>
      </c>
      <c r="F560" s="33" t="str">
        <f t="shared" si="58"/>
        <v/>
      </c>
      <c r="G560" s="35"/>
      <c r="H560" s="35"/>
      <c r="I560" s="33"/>
      <c r="J560" s="33" t="str">
        <f t="shared" si="59"/>
        <v/>
      </c>
      <c r="K560" s="36"/>
      <c r="L560" s="37"/>
      <c r="M560" s="37"/>
      <c r="N560" s="37"/>
      <c r="O560" s="37"/>
      <c r="P560" s="37"/>
      <c r="Q560" s="37"/>
      <c r="R560" s="37"/>
      <c r="S560" s="37"/>
      <c r="T560" s="38"/>
      <c r="U560" s="40"/>
      <c r="V560" s="40"/>
      <c r="W560" s="40"/>
      <c r="X560" s="41"/>
      <c r="Y560" s="37"/>
      <c r="Z560" s="37"/>
      <c r="AA560" s="37"/>
      <c r="AB560" s="37"/>
      <c r="AC560" s="37"/>
      <c r="AD560" s="40"/>
      <c r="AE560" s="40"/>
      <c r="AF560" s="40"/>
      <c r="AG560" s="42"/>
      <c r="AH560" s="36"/>
      <c r="AI560" s="36"/>
    </row>
    <row r="561" spans="1:35" x14ac:dyDescent="0.3">
      <c r="A561" s="32" t="str">
        <f t="shared" si="54"/>
        <v/>
      </c>
      <c r="B561" s="33" t="str">
        <f t="shared" si="55"/>
        <v/>
      </c>
      <c r="C561" s="33" t="str">
        <f t="shared" si="56"/>
        <v/>
      </c>
      <c r="D561" s="34"/>
      <c r="E561" s="33" t="str">
        <f t="shared" si="57"/>
        <v/>
      </c>
      <c r="F561" s="33" t="str">
        <f t="shared" si="58"/>
        <v/>
      </c>
      <c r="G561" s="35"/>
      <c r="H561" s="35"/>
      <c r="I561" s="33"/>
      <c r="J561" s="33" t="str">
        <f t="shared" si="59"/>
        <v/>
      </c>
      <c r="K561" s="36"/>
      <c r="L561" s="37"/>
      <c r="M561" s="37"/>
      <c r="N561" s="37"/>
      <c r="O561" s="37"/>
      <c r="P561" s="37"/>
      <c r="Q561" s="37"/>
      <c r="R561" s="37"/>
      <c r="S561" s="37"/>
      <c r="T561" s="38"/>
      <c r="U561" s="40"/>
      <c r="V561" s="40"/>
      <c r="W561" s="40"/>
      <c r="X561" s="41"/>
      <c r="Y561" s="37"/>
      <c r="Z561" s="37"/>
      <c r="AA561" s="37"/>
      <c r="AB561" s="37"/>
      <c r="AC561" s="37"/>
      <c r="AD561" s="40"/>
      <c r="AE561" s="40"/>
      <c r="AF561" s="40"/>
      <c r="AG561" s="42"/>
      <c r="AH561" s="36"/>
      <c r="AI561" s="36"/>
    </row>
    <row r="562" spans="1:35" x14ac:dyDescent="0.3">
      <c r="A562" s="32" t="str">
        <f t="shared" si="54"/>
        <v/>
      </c>
      <c r="B562" s="33" t="str">
        <f t="shared" si="55"/>
        <v/>
      </c>
      <c r="C562" s="33" t="str">
        <f t="shared" si="56"/>
        <v/>
      </c>
      <c r="D562" s="34"/>
      <c r="E562" s="33" t="str">
        <f t="shared" si="57"/>
        <v/>
      </c>
      <c r="F562" s="33" t="str">
        <f t="shared" si="58"/>
        <v/>
      </c>
      <c r="G562" s="35"/>
      <c r="H562" s="35"/>
      <c r="I562" s="33"/>
      <c r="J562" s="33" t="str">
        <f t="shared" si="59"/>
        <v/>
      </c>
      <c r="K562" s="36"/>
      <c r="L562" s="37"/>
      <c r="M562" s="37"/>
      <c r="N562" s="37"/>
      <c r="O562" s="37"/>
      <c r="P562" s="37"/>
      <c r="Q562" s="37"/>
      <c r="R562" s="37"/>
      <c r="S562" s="37"/>
      <c r="T562" s="38"/>
      <c r="U562" s="40"/>
      <c r="V562" s="40"/>
      <c r="W562" s="40"/>
      <c r="X562" s="41"/>
      <c r="Y562" s="37"/>
      <c r="Z562" s="37"/>
      <c r="AA562" s="37"/>
      <c r="AB562" s="37"/>
      <c r="AC562" s="37"/>
      <c r="AD562" s="40"/>
      <c r="AE562" s="40"/>
      <c r="AF562" s="40"/>
      <c r="AG562" s="42"/>
      <c r="AH562" s="36"/>
      <c r="AI562" s="36"/>
    </row>
    <row r="563" spans="1:35" x14ac:dyDescent="0.3">
      <c r="A563" s="32" t="str">
        <f t="shared" si="54"/>
        <v/>
      </c>
      <c r="B563" s="33" t="str">
        <f t="shared" si="55"/>
        <v/>
      </c>
      <c r="C563" s="33" t="str">
        <f t="shared" si="56"/>
        <v/>
      </c>
      <c r="D563" s="34"/>
      <c r="E563" s="33" t="str">
        <f t="shared" si="57"/>
        <v/>
      </c>
      <c r="F563" s="33" t="str">
        <f t="shared" si="58"/>
        <v/>
      </c>
      <c r="G563" s="35"/>
      <c r="H563" s="35"/>
      <c r="I563" s="33"/>
      <c r="J563" s="33" t="str">
        <f t="shared" si="59"/>
        <v/>
      </c>
      <c r="K563" s="36"/>
      <c r="L563" s="37"/>
      <c r="M563" s="37"/>
      <c r="N563" s="37"/>
      <c r="O563" s="37"/>
      <c r="P563" s="37"/>
      <c r="Q563" s="37"/>
      <c r="R563" s="37"/>
      <c r="S563" s="37"/>
      <c r="T563" s="38"/>
      <c r="U563" s="40"/>
      <c r="V563" s="40"/>
      <c r="W563" s="40"/>
      <c r="X563" s="41"/>
      <c r="Y563" s="37"/>
      <c r="Z563" s="37"/>
      <c r="AA563" s="37"/>
      <c r="AB563" s="37"/>
      <c r="AC563" s="37"/>
      <c r="AD563" s="40"/>
      <c r="AE563" s="40"/>
      <c r="AF563" s="40"/>
      <c r="AG563" s="42"/>
      <c r="AH563" s="36"/>
      <c r="AI563" s="36"/>
    </row>
    <row r="564" spans="1:35" x14ac:dyDescent="0.3">
      <c r="A564" s="32" t="str">
        <f t="shared" si="54"/>
        <v/>
      </c>
      <c r="B564" s="33" t="str">
        <f t="shared" si="55"/>
        <v/>
      </c>
      <c r="C564" s="33" t="str">
        <f t="shared" si="56"/>
        <v/>
      </c>
      <c r="D564" s="34"/>
      <c r="E564" s="33" t="str">
        <f t="shared" si="57"/>
        <v/>
      </c>
      <c r="F564" s="33" t="str">
        <f t="shared" si="58"/>
        <v/>
      </c>
      <c r="G564" s="35"/>
      <c r="H564" s="35"/>
      <c r="I564" s="33"/>
      <c r="J564" s="33" t="str">
        <f t="shared" si="59"/>
        <v/>
      </c>
      <c r="K564" s="36"/>
      <c r="L564" s="37"/>
      <c r="M564" s="37"/>
      <c r="N564" s="37"/>
      <c r="O564" s="37"/>
      <c r="P564" s="37"/>
      <c r="Q564" s="37"/>
      <c r="R564" s="37"/>
      <c r="S564" s="37"/>
      <c r="T564" s="38"/>
      <c r="U564" s="40"/>
      <c r="V564" s="40"/>
      <c r="W564" s="40"/>
      <c r="X564" s="41"/>
      <c r="Y564" s="37"/>
      <c r="Z564" s="37"/>
      <c r="AA564" s="37"/>
      <c r="AB564" s="37"/>
      <c r="AC564" s="37"/>
      <c r="AD564" s="40"/>
      <c r="AE564" s="40"/>
      <c r="AF564" s="40"/>
      <c r="AG564" s="42"/>
      <c r="AH564" s="36"/>
      <c r="AI564" s="36"/>
    </row>
    <row r="565" spans="1:35" x14ac:dyDescent="0.3">
      <c r="A565" s="32" t="str">
        <f t="shared" si="54"/>
        <v/>
      </c>
      <c r="B565" s="33" t="str">
        <f t="shared" si="55"/>
        <v/>
      </c>
      <c r="C565" s="33" t="str">
        <f t="shared" si="56"/>
        <v/>
      </c>
      <c r="D565" s="34"/>
      <c r="E565" s="33" t="str">
        <f t="shared" si="57"/>
        <v/>
      </c>
      <c r="F565" s="33" t="str">
        <f t="shared" si="58"/>
        <v/>
      </c>
      <c r="G565" s="35"/>
      <c r="H565" s="35"/>
      <c r="I565" s="33"/>
      <c r="J565" s="33" t="str">
        <f t="shared" si="59"/>
        <v/>
      </c>
      <c r="K565" s="36"/>
      <c r="L565" s="37"/>
      <c r="M565" s="37"/>
      <c r="N565" s="37"/>
      <c r="O565" s="37"/>
      <c r="P565" s="37"/>
      <c r="Q565" s="37"/>
      <c r="R565" s="37"/>
      <c r="S565" s="37"/>
      <c r="T565" s="38"/>
      <c r="U565" s="40"/>
      <c r="V565" s="40"/>
      <c r="W565" s="40"/>
      <c r="X565" s="41"/>
      <c r="Y565" s="37"/>
      <c r="Z565" s="37"/>
      <c r="AA565" s="37"/>
      <c r="AB565" s="37"/>
      <c r="AC565" s="37"/>
      <c r="AD565" s="40"/>
      <c r="AE565" s="40"/>
      <c r="AF565" s="40"/>
      <c r="AG565" s="42"/>
      <c r="AH565" s="36"/>
      <c r="AI565" s="36"/>
    </row>
    <row r="566" spans="1:35" x14ac:dyDescent="0.3">
      <c r="A566" s="32" t="str">
        <f t="shared" si="54"/>
        <v/>
      </c>
      <c r="B566" s="33" t="str">
        <f t="shared" si="55"/>
        <v/>
      </c>
      <c r="C566" s="33" t="str">
        <f t="shared" si="56"/>
        <v/>
      </c>
      <c r="D566" s="34"/>
      <c r="E566" s="33" t="str">
        <f t="shared" si="57"/>
        <v/>
      </c>
      <c r="F566" s="33" t="str">
        <f t="shared" si="58"/>
        <v/>
      </c>
      <c r="G566" s="35"/>
      <c r="H566" s="35"/>
      <c r="I566" s="33"/>
      <c r="J566" s="33" t="str">
        <f t="shared" si="59"/>
        <v/>
      </c>
      <c r="K566" s="36"/>
      <c r="L566" s="37"/>
      <c r="M566" s="37"/>
      <c r="N566" s="37"/>
      <c r="O566" s="37"/>
      <c r="P566" s="37"/>
      <c r="Q566" s="37"/>
      <c r="R566" s="37"/>
      <c r="S566" s="37"/>
      <c r="T566" s="38"/>
      <c r="U566" s="40"/>
      <c r="V566" s="40"/>
      <c r="W566" s="40"/>
      <c r="X566" s="41"/>
      <c r="Y566" s="37"/>
      <c r="Z566" s="37"/>
      <c r="AA566" s="37"/>
      <c r="AB566" s="37"/>
      <c r="AC566" s="37"/>
      <c r="AD566" s="40"/>
      <c r="AE566" s="40"/>
      <c r="AF566" s="40"/>
      <c r="AG566" s="42"/>
      <c r="AH566" s="36"/>
      <c r="AI566" s="36"/>
    </row>
    <row r="567" spans="1:35" x14ac:dyDescent="0.3">
      <c r="A567" s="32" t="str">
        <f t="shared" si="54"/>
        <v/>
      </c>
      <c r="B567" s="33" t="str">
        <f t="shared" si="55"/>
        <v/>
      </c>
      <c r="C567" s="33" t="str">
        <f t="shared" si="56"/>
        <v/>
      </c>
      <c r="D567" s="34"/>
      <c r="E567" s="33" t="str">
        <f t="shared" si="57"/>
        <v/>
      </c>
      <c r="F567" s="33" t="str">
        <f t="shared" si="58"/>
        <v/>
      </c>
      <c r="G567" s="35"/>
      <c r="H567" s="35"/>
      <c r="I567" s="33"/>
      <c r="J567" s="33" t="str">
        <f t="shared" si="59"/>
        <v/>
      </c>
      <c r="K567" s="36"/>
      <c r="L567" s="37"/>
      <c r="M567" s="37"/>
      <c r="N567" s="37"/>
      <c r="O567" s="37"/>
      <c r="P567" s="37"/>
      <c r="Q567" s="37"/>
      <c r="R567" s="37"/>
      <c r="S567" s="37"/>
      <c r="T567" s="38"/>
      <c r="U567" s="40"/>
      <c r="V567" s="40"/>
      <c r="W567" s="40"/>
      <c r="X567" s="41"/>
      <c r="Y567" s="37"/>
      <c r="Z567" s="37"/>
      <c r="AA567" s="37"/>
      <c r="AB567" s="37"/>
      <c r="AC567" s="37"/>
      <c r="AD567" s="40"/>
      <c r="AE567" s="40"/>
      <c r="AF567" s="40"/>
      <c r="AG567" s="42"/>
      <c r="AH567" s="36"/>
      <c r="AI567" s="36"/>
    </row>
    <row r="568" spans="1:35" x14ac:dyDescent="0.3">
      <c r="A568" s="32" t="str">
        <f t="shared" si="54"/>
        <v/>
      </c>
      <c r="B568" s="33" t="str">
        <f t="shared" si="55"/>
        <v/>
      </c>
      <c r="C568" s="33" t="str">
        <f t="shared" si="56"/>
        <v/>
      </c>
      <c r="D568" s="34"/>
      <c r="E568" s="33" t="str">
        <f t="shared" si="57"/>
        <v/>
      </c>
      <c r="F568" s="33" t="str">
        <f t="shared" si="58"/>
        <v/>
      </c>
      <c r="G568" s="35"/>
      <c r="H568" s="35"/>
      <c r="I568" s="33"/>
      <c r="J568" s="33" t="str">
        <f t="shared" si="59"/>
        <v/>
      </c>
      <c r="K568" s="36"/>
      <c r="L568" s="37"/>
      <c r="M568" s="37"/>
      <c r="N568" s="37"/>
      <c r="O568" s="37"/>
      <c r="P568" s="37"/>
      <c r="Q568" s="37"/>
      <c r="R568" s="37"/>
      <c r="S568" s="37"/>
      <c r="T568" s="38"/>
      <c r="U568" s="40"/>
      <c r="V568" s="40"/>
      <c r="W568" s="40"/>
      <c r="X568" s="41"/>
      <c r="Y568" s="37"/>
      <c r="Z568" s="37"/>
      <c r="AA568" s="37"/>
      <c r="AB568" s="37"/>
      <c r="AC568" s="37"/>
      <c r="AD568" s="40"/>
      <c r="AE568" s="40"/>
      <c r="AF568" s="40"/>
      <c r="AG568" s="42"/>
      <c r="AH568" s="36"/>
      <c r="AI568" s="36"/>
    </row>
    <row r="569" spans="1:35" x14ac:dyDescent="0.3">
      <c r="A569" s="32" t="str">
        <f t="shared" si="54"/>
        <v/>
      </c>
      <c r="B569" s="33" t="str">
        <f t="shared" si="55"/>
        <v/>
      </c>
      <c r="C569" s="33" t="str">
        <f t="shared" si="56"/>
        <v/>
      </c>
      <c r="D569" s="34"/>
      <c r="E569" s="33" t="str">
        <f t="shared" si="57"/>
        <v/>
      </c>
      <c r="F569" s="33" t="str">
        <f t="shared" si="58"/>
        <v/>
      </c>
      <c r="G569" s="35"/>
      <c r="H569" s="35"/>
      <c r="I569" s="33"/>
      <c r="J569" s="33" t="str">
        <f t="shared" si="59"/>
        <v/>
      </c>
      <c r="K569" s="36"/>
      <c r="L569" s="37"/>
      <c r="M569" s="37"/>
      <c r="N569" s="37"/>
      <c r="O569" s="37"/>
      <c r="P569" s="37"/>
      <c r="Q569" s="37"/>
      <c r="R569" s="37"/>
      <c r="S569" s="37"/>
      <c r="T569" s="38"/>
      <c r="U569" s="40"/>
      <c r="V569" s="40"/>
      <c r="W569" s="40"/>
      <c r="X569" s="41"/>
      <c r="Y569" s="37"/>
      <c r="Z569" s="37"/>
      <c r="AA569" s="37"/>
      <c r="AB569" s="37"/>
      <c r="AC569" s="37"/>
      <c r="AD569" s="40"/>
      <c r="AE569" s="40"/>
      <c r="AF569" s="40"/>
      <c r="AG569" s="42"/>
      <c r="AH569" s="36"/>
      <c r="AI569" s="36"/>
    </row>
    <row r="570" spans="1:35" x14ac:dyDescent="0.3">
      <c r="A570" s="32" t="str">
        <f t="shared" si="54"/>
        <v/>
      </c>
      <c r="B570" s="33" t="str">
        <f t="shared" si="55"/>
        <v/>
      </c>
      <c r="C570" s="33" t="str">
        <f t="shared" si="56"/>
        <v/>
      </c>
      <c r="D570" s="34"/>
      <c r="E570" s="33" t="str">
        <f t="shared" si="57"/>
        <v/>
      </c>
      <c r="F570" s="33" t="str">
        <f t="shared" si="58"/>
        <v/>
      </c>
      <c r="G570" s="35"/>
      <c r="H570" s="35"/>
      <c r="I570" s="33"/>
      <c r="J570" s="33" t="str">
        <f t="shared" si="59"/>
        <v/>
      </c>
      <c r="K570" s="36"/>
      <c r="L570" s="37"/>
      <c r="M570" s="37"/>
      <c r="N570" s="37"/>
      <c r="O570" s="37"/>
      <c r="P570" s="37"/>
      <c r="Q570" s="37"/>
      <c r="R570" s="37"/>
      <c r="S570" s="37"/>
      <c r="T570" s="38"/>
      <c r="U570" s="40"/>
      <c r="V570" s="40"/>
      <c r="W570" s="40"/>
      <c r="X570" s="41"/>
      <c r="Y570" s="37"/>
      <c r="Z570" s="37"/>
      <c r="AA570" s="37"/>
      <c r="AB570" s="37"/>
      <c r="AC570" s="37"/>
      <c r="AD570" s="40"/>
      <c r="AE570" s="40"/>
      <c r="AF570" s="40"/>
      <c r="AG570" s="42"/>
      <c r="AH570" s="36"/>
      <c r="AI570" s="36"/>
    </row>
    <row r="571" spans="1:35" x14ac:dyDescent="0.3">
      <c r="A571" s="32" t="str">
        <f t="shared" si="54"/>
        <v/>
      </c>
      <c r="B571" s="33" t="str">
        <f t="shared" si="55"/>
        <v/>
      </c>
      <c r="C571" s="33" t="str">
        <f t="shared" si="56"/>
        <v/>
      </c>
      <c r="D571" s="34"/>
      <c r="E571" s="33" t="str">
        <f t="shared" si="57"/>
        <v/>
      </c>
      <c r="F571" s="33" t="str">
        <f t="shared" si="58"/>
        <v/>
      </c>
      <c r="G571" s="35"/>
      <c r="H571" s="35"/>
      <c r="I571" s="33"/>
      <c r="J571" s="33" t="str">
        <f t="shared" si="59"/>
        <v/>
      </c>
      <c r="K571" s="36"/>
      <c r="L571" s="37"/>
      <c r="M571" s="37"/>
      <c r="N571" s="37"/>
      <c r="O571" s="37"/>
      <c r="P571" s="37"/>
      <c r="Q571" s="37"/>
      <c r="R571" s="37"/>
      <c r="S571" s="37"/>
      <c r="T571" s="38"/>
      <c r="U571" s="40"/>
      <c r="V571" s="40"/>
      <c r="W571" s="40"/>
      <c r="X571" s="41"/>
      <c r="Y571" s="37"/>
      <c r="Z571" s="37"/>
      <c r="AA571" s="37"/>
      <c r="AB571" s="37"/>
      <c r="AC571" s="37"/>
      <c r="AD571" s="40"/>
      <c r="AE571" s="40"/>
      <c r="AF571" s="40"/>
      <c r="AG571" s="42"/>
      <c r="AH571" s="36"/>
      <c r="AI571" s="36"/>
    </row>
    <row r="572" spans="1:35" x14ac:dyDescent="0.3">
      <c r="A572" s="32" t="str">
        <f t="shared" si="54"/>
        <v/>
      </c>
      <c r="B572" s="33" t="str">
        <f t="shared" si="55"/>
        <v/>
      </c>
      <c r="C572" s="33" t="str">
        <f t="shared" si="56"/>
        <v/>
      </c>
      <c r="D572" s="34"/>
      <c r="E572" s="33" t="str">
        <f t="shared" si="57"/>
        <v/>
      </c>
      <c r="F572" s="33" t="str">
        <f t="shared" si="58"/>
        <v/>
      </c>
      <c r="G572" s="35"/>
      <c r="H572" s="35"/>
      <c r="I572" s="33"/>
      <c r="J572" s="33" t="str">
        <f t="shared" si="59"/>
        <v/>
      </c>
      <c r="K572" s="36"/>
      <c r="L572" s="37"/>
      <c r="M572" s="37"/>
      <c r="N572" s="37"/>
      <c r="O572" s="37"/>
      <c r="P572" s="37"/>
      <c r="Q572" s="37"/>
      <c r="R572" s="37"/>
      <c r="S572" s="37"/>
      <c r="T572" s="38"/>
      <c r="U572" s="40"/>
      <c r="V572" s="40"/>
      <c r="W572" s="40"/>
      <c r="X572" s="41"/>
      <c r="Y572" s="37"/>
      <c r="Z572" s="37"/>
      <c r="AA572" s="37"/>
      <c r="AB572" s="37"/>
      <c r="AC572" s="37"/>
      <c r="AD572" s="40"/>
      <c r="AE572" s="40"/>
      <c r="AF572" s="40"/>
      <c r="AG572" s="42"/>
      <c r="AH572" s="36"/>
      <c r="AI572" s="36"/>
    </row>
    <row r="573" spans="1:35" x14ac:dyDescent="0.3">
      <c r="A573" s="32" t="str">
        <f t="shared" si="54"/>
        <v/>
      </c>
      <c r="B573" s="33" t="str">
        <f t="shared" si="55"/>
        <v/>
      </c>
      <c r="C573" s="33" t="str">
        <f t="shared" si="56"/>
        <v/>
      </c>
      <c r="D573" s="34"/>
      <c r="E573" s="33" t="str">
        <f t="shared" si="57"/>
        <v/>
      </c>
      <c r="F573" s="33" t="str">
        <f t="shared" si="58"/>
        <v/>
      </c>
      <c r="G573" s="35"/>
      <c r="H573" s="35"/>
      <c r="I573" s="33"/>
      <c r="J573" s="33" t="str">
        <f t="shared" si="59"/>
        <v/>
      </c>
      <c r="K573" s="36"/>
      <c r="L573" s="37"/>
      <c r="M573" s="37"/>
      <c r="N573" s="37"/>
      <c r="O573" s="37"/>
      <c r="P573" s="37"/>
      <c r="Q573" s="37"/>
      <c r="R573" s="37"/>
      <c r="S573" s="37"/>
      <c r="T573" s="38"/>
      <c r="U573" s="40"/>
      <c r="V573" s="40"/>
      <c r="W573" s="40"/>
      <c r="X573" s="41"/>
      <c r="Y573" s="37"/>
      <c r="Z573" s="37"/>
      <c r="AA573" s="37"/>
      <c r="AB573" s="37"/>
      <c r="AC573" s="37"/>
      <c r="AD573" s="40"/>
      <c r="AE573" s="40"/>
      <c r="AF573" s="40"/>
      <c r="AG573" s="42"/>
      <c r="AH573" s="36"/>
      <c r="AI573" s="36"/>
    </row>
    <row r="574" spans="1:35" x14ac:dyDescent="0.3">
      <c r="A574" s="32" t="str">
        <f t="shared" si="54"/>
        <v/>
      </c>
      <c r="B574" s="33" t="str">
        <f t="shared" si="55"/>
        <v/>
      </c>
      <c r="C574" s="33" t="str">
        <f t="shared" si="56"/>
        <v/>
      </c>
      <c r="D574" s="34"/>
      <c r="E574" s="33" t="str">
        <f t="shared" si="57"/>
        <v/>
      </c>
      <c r="F574" s="33" t="str">
        <f t="shared" si="58"/>
        <v/>
      </c>
      <c r="G574" s="35"/>
      <c r="H574" s="35"/>
      <c r="I574" s="33"/>
      <c r="J574" s="33" t="str">
        <f t="shared" si="59"/>
        <v/>
      </c>
      <c r="K574" s="36"/>
      <c r="L574" s="37"/>
      <c r="M574" s="37"/>
      <c r="N574" s="37"/>
      <c r="O574" s="37"/>
      <c r="P574" s="37"/>
      <c r="Q574" s="37"/>
      <c r="R574" s="37"/>
      <c r="S574" s="37"/>
      <c r="T574" s="38"/>
      <c r="U574" s="40"/>
      <c r="V574" s="40"/>
      <c r="W574" s="40"/>
      <c r="X574" s="41"/>
      <c r="Y574" s="37"/>
      <c r="Z574" s="37"/>
      <c r="AA574" s="37"/>
      <c r="AB574" s="37"/>
      <c r="AC574" s="37"/>
      <c r="AD574" s="40"/>
      <c r="AE574" s="40"/>
      <c r="AF574" s="40"/>
      <c r="AG574" s="42"/>
      <c r="AH574" s="36"/>
      <c r="AI574" s="36"/>
    </row>
    <row r="575" spans="1:35" x14ac:dyDescent="0.3">
      <c r="A575" s="32" t="str">
        <f t="shared" si="54"/>
        <v/>
      </c>
      <c r="B575" s="33" t="str">
        <f t="shared" si="55"/>
        <v/>
      </c>
      <c r="C575" s="33" t="str">
        <f t="shared" si="56"/>
        <v/>
      </c>
      <c r="D575" s="34"/>
      <c r="E575" s="33" t="str">
        <f t="shared" si="57"/>
        <v/>
      </c>
      <c r="F575" s="33" t="str">
        <f t="shared" si="58"/>
        <v/>
      </c>
      <c r="G575" s="35"/>
      <c r="H575" s="35"/>
      <c r="I575" s="33"/>
      <c r="J575" s="33" t="str">
        <f t="shared" si="59"/>
        <v/>
      </c>
      <c r="K575" s="36"/>
      <c r="L575" s="37"/>
      <c r="M575" s="37"/>
      <c r="N575" s="37"/>
      <c r="O575" s="37"/>
      <c r="P575" s="37"/>
      <c r="Q575" s="37"/>
      <c r="R575" s="37"/>
      <c r="S575" s="37"/>
      <c r="T575" s="38"/>
      <c r="U575" s="40"/>
      <c r="V575" s="40"/>
      <c r="W575" s="40"/>
      <c r="X575" s="41"/>
      <c r="Y575" s="37"/>
      <c r="Z575" s="37"/>
      <c r="AA575" s="37"/>
      <c r="AB575" s="37"/>
      <c r="AC575" s="37"/>
      <c r="AD575" s="40"/>
      <c r="AE575" s="40"/>
      <c r="AF575" s="40"/>
      <c r="AG575" s="42"/>
      <c r="AH575" s="36"/>
      <c r="AI575" s="36"/>
    </row>
    <row r="576" spans="1:35" x14ac:dyDescent="0.3">
      <c r="A576" s="32" t="str">
        <f t="shared" si="54"/>
        <v/>
      </c>
      <c r="B576" s="33" t="str">
        <f t="shared" si="55"/>
        <v/>
      </c>
      <c r="C576" s="33" t="str">
        <f t="shared" si="56"/>
        <v/>
      </c>
      <c r="D576" s="34"/>
      <c r="E576" s="33" t="str">
        <f t="shared" si="57"/>
        <v/>
      </c>
      <c r="F576" s="33" t="str">
        <f t="shared" si="58"/>
        <v/>
      </c>
      <c r="G576" s="35"/>
      <c r="H576" s="35"/>
      <c r="I576" s="33"/>
      <c r="J576" s="33" t="str">
        <f t="shared" si="59"/>
        <v/>
      </c>
      <c r="K576" s="36"/>
      <c r="L576" s="37"/>
      <c r="M576" s="37"/>
      <c r="N576" s="37"/>
      <c r="O576" s="37"/>
      <c r="P576" s="37"/>
      <c r="Q576" s="37"/>
      <c r="R576" s="37"/>
      <c r="S576" s="37"/>
      <c r="T576" s="38"/>
      <c r="U576" s="40"/>
      <c r="V576" s="40"/>
      <c r="W576" s="40"/>
      <c r="X576" s="41"/>
      <c r="Y576" s="37"/>
      <c r="Z576" s="37"/>
      <c r="AA576" s="37"/>
      <c r="AB576" s="37"/>
      <c r="AC576" s="37"/>
      <c r="AD576" s="40"/>
      <c r="AE576" s="40"/>
      <c r="AF576" s="40"/>
      <c r="AG576" s="42"/>
      <c r="AH576" s="36"/>
      <c r="AI576" s="36"/>
    </row>
    <row r="577" spans="1:35" x14ac:dyDescent="0.3">
      <c r="A577" s="32" t="str">
        <f t="shared" si="54"/>
        <v/>
      </c>
      <c r="B577" s="33" t="str">
        <f t="shared" si="55"/>
        <v/>
      </c>
      <c r="C577" s="33" t="str">
        <f t="shared" si="56"/>
        <v/>
      </c>
      <c r="D577" s="34"/>
      <c r="E577" s="33" t="str">
        <f t="shared" si="57"/>
        <v/>
      </c>
      <c r="F577" s="33" t="str">
        <f t="shared" si="58"/>
        <v/>
      </c>
      <c r="G577" s="35"/>
      <c r="H577" s="35"/>
      <c r="I577" s="33"/>
      <c r="J577" s="33" t="str">
        <f t="shared" si="59"/>
        <v/>
      </c>
      <c r="K577" s="36"/>
      <c r="L577" s="37"/>
      <c r="M577" s="37"/>
      <c r="N577" s="37"/>
      <c r="O577" s="37"/>
      <c r="P577" s="37"/>
      <c r="Q577" s="37"/>
      <c r="R577" s="37"/>
      <c r="S577" s="37"/>
      <c r="T577" s="38"/>
      <c r="U577" s="40"/>
      <c r="V577" s="40"/>
      <c r="W577" s="40"/>
      <c r="X577" s="41"/>
      <c r="Y577" s="37"/>
      <c r="Z577" s="37"/>
      <c r="AA577" s="37"/>
      <c r="AB577" s="37"/>
      <c r="AC577" s="37"/>
      <c r="AD577" s="40"/>
      <c r="AE577" s="40"/>
      <c r="AF577" s="40"/>
      <c r="AG577" s="42"/>
      <c r="AH577" s="36"/>
      <c r="AI577" s="36"/>
    </row>
    <row r="578" spans="1:35" x14ac:dyDescent="0.3">
      <c r="A578" s="32" t="str">
        <f t="shared" si="54"/>
        <v/>
      </c>
      <c r="B578" s="33" t="str">
        <f t="shared" si="55"/>
        <v/>
      </c>
      <c r="C578" s="33" t="str">
        <f t="shared" si="56"/>
        <v/>
      </c>
      <c r="D578" s="34"/>
      <c r="E578" s="33" t="str">
        <f t="shared" si="57"/>
        <v/>
      </c>
      <c r="F578" s="33" t="str">
        <f t="shared" si="58"/>
        <v/>
      </c>
      <c r="G578" s="35"/>
      <c r="H578" s="35"/>
      <c r="I578" s="33"/>
      <c r="J578" s="33" t="str">
        <f t="shared" si="59"/>
        <v/>
      </c>
      <c r="K578" s="36"/>
      <c r="L578" s="37"/>
      <c r="M578" s="37"/>
      <c r="N578" s="37"/>
      <c r="O578" s="37"/>
      <c r="P578" s="37"/>
      <c r="Q578" s="37"/>
      <c r="R578" s="37"/>
      <c r="S578" s="37"/>
      <c r="T578" s="38"/>
      <c r="U578" s="40"/>
      <c r="V578" s="40"/>
      <c r="W578" s="40"/>
      <c r="X578" s="41"/>
      <c r="Y578" s="37"/>
      <c r="Z578" s="37"/>
      <c r="AA578" s="37"/>
      <c r="AB578" s="37"/>
      <c r="AC578" s="37"/>
      <c r="AD578" s="40"/>
      <c r="AE578" s="40"/>
      <c r="AF578" s="40"/>
      <c r="AG578" s="42"/>
      <c r="AH578" s="36"/>
      <c r="AI578" s="36"/>
    </row>
    <row r="579" spans="1:35" x14ac:dyDescent="0.3">
      <c r="A579" s="32" t="str">
        <f t="shared" si="54"/>
        <v/>
      </c>
      <c r="B579" s="33" t="str">
        <f t="shared" si="55"/>
        <v/>
      </c>
      <c r="C579" s="33" t="str">
        <f t="shared" si="56"/>
        <v/>
      </c>
      <c r="D579" s="34"/>
      <c r="E579" s="33" t="str">
        <f t="shared" si="57"/>
        <v/>
      </c>
      <c r="F579" s="33" t="str">
        <f t="shared" si="58"/>
        <v/>
      </c>
      <c r="G579" s="35"/>
      <c r="H579" s="35"/>
      <c r="I579" s="33"/>
      <c r="J579" s="33" t="str">
        <f t="shared" si="59"/>
        <v/>
      </c>
      <c r="K579" s="36"/>
      <c r="L579" s="37"/>
      <c r="M579" s="37"/>
      <c r="N579" s="37"/>
      <c r="O579" s="37"/>
      <c r="P579" s="37"/>
      <c r="Q579" s="37"/>
      <c r="R579" s="37"/>
      <c r="S579" s="37"/>
      <c r="T579" s="38"/>
      <c r="U579" s="40"/>
      <c r="V579" s="40"/>
      <c r="W579" s="40"/>
      <c r="X579" s="41"/>
      <c r="Y579" s="37"/>
      <c r="Z579" s="37"/>
      <c r="AA579" s="37"/>
      <c r="AB579" s="37"/>
      <c r="AC579" s="37"/>
      <c r="AD579" s="40"/>
      <c r="AE579" s="40"/>
      <c r="AF579" s="40"/>
      <c r="AG579" s="42"/>
      <c r="AH579" s="36"/>
      <c r="AI579" s="36"/>
    </row>
    <row r="580" spans="1:35" x14ac:dyDescent="0.3">
      <c r="A580" s="32" t="str">
        <f t="shared" si="54"/>
        <v/>
      </c>
      <c r="B580" s="33" t="str">
        <f t="shared" si="55"/>
        <v/>
      </c>
      <c r="C580" s="33" t="str">
        <f t="shared" si="56"/>
        <v/>
      </c>
      <c r="D580" s="34"/>
      <c r="E580" s="33" t="str">
        <f t="shared" si="57"/>
        <v/>
      </c>
      <c r="F580" s="33" t="str">
        <f t="shared" si="58"/>
        <v/>
      </c>
      <c r="G580" s="35"/>
      <c r="H580" s="35"/>
      <c r="I580" s="33"/>
      <c r="J580" s="33" t="str">
        <f t="shared" si="59"/>
        <v/>
      </c>
      <c r="K580" s="36"/>
      <c r="L580" s="37"/>
      <c r="M580" s="37"/>
      <c r="N580" s="37"/>
      <c r="O580" s="37"/>
      <c r="P580" s="37"/>
      <c r="Q580" s="37"/>
      <c r="R580" s="37"/>
      <c r="S580" s="37"/>
      <c r="T580" s="38"/>
      <c r="U580" s="40"/>
      <c r="V580" s="40"/>
      <c r="W580" s="40"/>
      <c r="X580" s="41"/>
      <c r="Y580" s="37"/>
      <c r="Z580" s="37"/>
      <c r="AA580" s="37"/>
      <c r="AB580" s="37"/>
      <c r="AC580" s="37"/>
      <c r="AD580" s="40"/>
      <c r="AE580" s="40"/>
      <c r="AF580" s="40"/>
      <c r="AG580" s="42"/>
      <c r="AH580" s="36"/>
      <c r="AI580" s="36"/>
    </row>
    <row r="581" spans="1:35" x14ac:dyDescent="0.3">
      <c r="A581" s="32" t="str">
        <f t="shared" si="54"/>
        <v/>
      </c>
      <c r="B581" s="33" t="str">
        <f t="shared" si="55"/>
        <v/>
      </c>
      <c r="C581" s="33" t="str">
        <f t="shared" si="56"/>
        <v/>
      </c>
      <c r="D581" s="34"/>
      <c r="E581" s="33" t="str">
        <f t="shared" si="57"/>
        <v/>
      </c>
      <c r="F581" s="33" t="str">
        <f t="shared" si="58"/>
        <v/>
      </c>
      <c r="G581" s="35"/>
      <c r="H581" s="35"/>
      <c r="I581" s="33"/>
      <c r="J581" s="33" t="str">
        <f t="shared" si="59"/>
        <v/>
      </c>
      <c r="K581" s="36"/>
      <c r="L581" s="37"/>
      <c r="M581" s="37"/>
      <c r="N581" s="37"/>
      <c r="O581" s="37"/>
      <c r="P581" s="37"/>
      <c r="Q581" s="37"/>
      <c r="R581" s="37"/>
      <c r="S581" s="37"/>
      <c r="T581" s="38"/>
      <c r="U581" s="40"/>
      <c r="V581" s="40"/>
      <c r="W581" s="40"/>
      <c r="X581" s="41"/>
      <c r="Y581" s="37"/>
      <c r="Z581" s="37"/>
      <c r="AA581" s="37"/>
      <c r="AB581" s="37"/>
      <c r="AC581" s="37"/>
      <c r="AD581" s="40"/>
      <c r="AE581" s="40"/>
      <c r="AF581" s="40"/>
      <c r="AG581" s="42"/>
      <c r="AH581" s="36"/>
      <c r="AI581" s="36"/>
    </row>
    <row r="582" spans="1:35" x14ac:dyDescent="0.3">
      <c r="A582" s="32" t="str">
        <f t="shared" si="54"/>
        <v/>
      </c>
      <c r="B582" s="33" t="str">
        <f t="shared" si="55"/>
        <v/>
      </c>
      <c r="C582" s="33" t="str">
        <f t="shared" si="56"/>
        <v/>
      </c>
      <c r="D582" s="34"/>
      <c r="E582" s="33" t="str">
        <f t="shared" si="57"/>
        <v/>
      </c>
      <c r="F582" s="33" t="str">
        <f t="shared" si="58"/>
        <v/>
      </c>
      <c r="G582" s="35"/>
      <c r="H582" s="35"/>
      <c r="I582" s="33"/>
      <c r="J582" s="33" t="str">
        <f t="shared" si="59"/>
        <v/>
      </c>
      <c r="K582" s="36"/>
      <c r="L582" s="37"/>
      <c r="M582" s="37"/>
      <c r="N582" s="37"/>
      <c r="O582" s="37"/>
      <c r="P582" s="37"/>
      <c r="Q582" s="37"/>
      <c r="R582" s="37"/>
      <c r="S582" s="37"/>
      <c r="T582" s="38"/>
      <c r="U582" s="40"/>
      <c r="V582" s="40"/>
      <c r="W582" s="40"/>
      <c r="X582" s="41"/>
      <c r="Y582" s="37"/>
      <c r="Z582" s="37"/>
      <c r="AA582" s="37"/>
      <c r="AB582" s="37"/>
      <c r="AC582" s="37"/>
      <c r="AD582" s="40"/>
      <c r="AE582" s="40"/>
      <c r="AF582" s="40"/>
      <c r="AG582" s="42"/>
      <c r="AH582" s="36"/>
      <c r="AI582" s="36"/>
    </row>
    <row r="583" spans="1:35" x14ac:dyDescent="0.3">
      <c r="A583" s="32" t="str">
        <f t="shared" si="54"/>
        <v/>
      </c>
      <c r="B583" s="33" t="str">
        <f t="shared" si="55"/>
        <v/>
      </c>
      <c r="C583" s="33" t="str">
        <f t="shared" si="56"/>
        <v/>
      </c>
      <c r="D583" s="34"/>
      <c r="E583" s="33" t="str">
        <f t="shared" si="57"/>
        <v/>
      </c>
      <c r="F583" s="33" t="str">
        <f t="shared" si="58"/>
        <v/>
      </c>
      <c r="G583" s="35"/>
      <c r="H583" s="35"/>
      <c r="I583" s="33"/>
      <c r="J583" s="33" t="str">
        <f t="shared" si="59"/>
        <v/>
      </c>
      <c r="K583" s="36"/>
      <c r="L583" s="37"/>
      <c r="M583" s="37"/>
      <c r="N583" s="37"/>
      <c r="O583" s="37"/>
      <c r="P583" s="37"/>
      <c r="Q583" s="37"/>
      <c r="R583" s="37"/>
      <c r="S583" s="37"/>
      <c r="T583" s="38"/>
      <c r="U583" s="40"/>
      <c r="V583" s="40"/>
      <c r="W583" s="40"/>
      <c r="X583" s="41"/>
      <c r="Y583" s="37"/>
      <c r="Z583" s="37"/>
      <c r="AA583" s="37"/>
      <c r="AB583" s="37"/>
      <c r="AC583" s="37"/>
      <c r="AD583" s="40"/>
      <c r="AE583" s="40"/>
      <c r="AF583" s="40"/>
      <c r="AG583" s="42"/>
      <c r="AH583" s="36"/>
      <c r="AI583" s="36"/>
    </row>
    <row r="584" spans="1:35" x14ac:dyDescent="0.3">
      <c r="A584" s="32" t="str">
        <f t="shared" si="54"/>
        <v/>
      </c>
      <c r="B584" s="33" t="str">
        <f t="shared" si="55"/>
        <v/>
      </c>
      <c r="C584" s="33" t="str">
        <f t="shared" si="56"/>
        <v/>
      </c>
      <c r="D584" s="34"/>
      <c r="E584" s="33" t="str">
        <f t="shared" si="57"/>
        <v/>
      </c>
      <c r="F584" s="33" t="str">
        <f t="shared" si="58"/>
        <v/>
      </c>
      <c r="G584" s="35"/>
      <c r="H584" s="35"/>
      <c r="I584" s="33"/>
      <c r="J584" s="33" t="str">
        <f t="shared" si="59"/>
        <v/>
      </c>
      <c r="K584" s="36"/>
      <c r="L584" s="37"/>
      <c r="M584" s="37"/>
      <c r="N584" s="37"/>
      <c r="O584" s="37"/>
      <c r="P584" s="37"/>
      <c r="Q584" s="37"/>
      <c r="R584" s="37"/>
      <c r="S584" s="37"/>
      <c r="T584" s="38"/>
      <c r="U584" s="40"/>
      <c r="V584" s="40"/>
      <c r="W584" s="40"/>
      <c r="X584" s="41"/>
      <c r="Y584" s="37"/>
      <c r="Z584" s="37"/>
      <c r="AA584" s="37"/>
      <c r="AB584" s="37"/>
      <c r="AC584" s="37"/>
      <c r="AD584" s="40"/>
      <c r="AE584" s="40"/>
      <c r="AF584" s="40"/>
      <c r="AG584" s="42"/>
      <c r="AH584" s="36"/>
      <c r="AI584" s="36"/>
    </row>
    <row r="585" spans="1:35" x14ac:dyDescent="0.3">
      <c r="A585" s="32" t="str">
        <f t="shared" si="54"/>
        <v/>
      </c>
      <c r="B585" s="33" t="str">
        <f t="shared" si="55"/>
        <v/>
      </c>
      <c r="C585" s="33" t="str">
        <f t="shared" si="56"/>
        <v/>
      </c>
      <c r="D585" s="34"/>
      <c r="E585" s="33" t="str">
        <f t="shared" si="57"/>
        <v/>
      </c>
      <c r="F585" s="33" t="str">
        <f t="shared" si="58"/>
        <v/>
      </c>
      <c r="G585" s="35"/>
      <c r="H585" s="35"/>
      <c r="I585" s="33"/>
      <c r="J585" s="33" t="str">
        <f t="shared" si="59"/>
        <v/>
      </c>
      <c r="K585" s="36"/>
      <c r="L585" s="37"/>
      <c r="M585" s="37"/>
      <c r="N585" s="37"/>
      <c r="O585" s="37"/>
      <c r="P585" s="37"/>
      <c r="Q585" s="37"/>
      <c r="R585" s="37"/>
      <c r="S585" s="37"/>
      <c r="T585" s="38"/>
      <c r="U585" s="40"/>
      <c r="V585" s="40"/>
      <c r="W585" s="40"/>
      <c r="X585" s="41"/>
      <c r="Y585" s="37"/>
      <c r="Z585" s="37"/>
      <c r="AA585" s="37"/>
      <c r="AB585" s="37"/>
      <c r="AC585" s="37"/>
      <c r="AD585" s="40"/>
      <c r="AE585" s="40"/>
      <c r="AF585" s="40"/>
      <c r="AG585" s="42"/>
      <c r="AH585" s="36"/>
      <c r="AI585" s="36"/>
    </row>
    <row r="586" spans="1:35" x14ac:dyDescent="0.3">
      <c r="A586" s="32" t="str">
        <f t="shared" si="54"/>
        <v/>
      </c>
      <c r="B586" s="33" t="str">
        <f t="shared" si="55"/>
        <v/>
      </c>
      <c r="C586" s="33" t="str">
        <f t="shared" si="56"/>
        <v/>
      </c>
      <c r="D586" s="34"/>
      <c r="E586" s="33" t="str">
        <f t="shared" si="57"/>
        <v/>
      </c>
      <c r="F586" s="33" t="str">
        <f t="shared" si="58"/>
        <v/>
      </c>
      <c r="G586" s="35"/>
      <c r="H586" s="35"/>
      <c r="I586" s="33"/>
      <c r="J586" s="33" t="str">
        <f t="shared" si="59"/>
        <v/>
      </c>
      <c r="K586" s="36"/>
      <c r="L586" s="37"/>
      <c r="M586" s="37"/>
      <c r="N586" s="37"/>
      <c r="O586" s="37"/>
      <c r="P586" s="37"/>
      <c r="Q586" s="37"/>
      <c r="R586" s="37"/>
      <c r="S586" s="37"/>
      <c r="T586" s="38"/>
      <c r="U586" s="40"/>
      <c r="V586" s="40"/>
      <c r="W586" s="40"/>
      <c r="X586" s="41"/>
      <c r="Y586" s="37"/>
      <c r="Z586" s="37"/>
      <c r="AA586" s="37"/>
      <c r="AB586" s="37"/>
      <c r="AC586" s="37"/>
      <c r="AD586" s="40"/>
      <c r="AE586" s="40"/>
      <c r="AF586" s="40"/>
      <c r="AG586" s="42"/>
      <c r="AH586" s="36"/>
      <c r="AI586" s="36"/>
    </row>
    <row r="587" spans="1:35" x14ac:dyDescent="0.3">
      <c r="A587" s="32" t="str">
        <f t="shared" si="54"/>
        <v/>
      </c>
      <c r="B587" s="33" t="str">
        <f t="shared" si="55"/>
        <v/>
      </c>
      <c r="C587" s="33" t="str">
        <f t="shared" si="56"/>
        <v/>
      </c>
      <c r="D587" s="34"/>
      <c r="E587" s="33" t="str">
        <f t="shared" si="57"/>
        <v/>
      </c>
      <c r="F587" s="33" t="str">
        <f t="shared" si="58"/>
        <v/>
      </c>
      <c r="G587" s="35"/>
      <c r="H587" s="35"/>
      <c r="I587" s="33"/>
      <c r="J587" s="33" t="str">
        <f t="shared" si="59"/>
        <v/>
      </c>
      <c r="K587" s="36"/>
      <c r="L587" s="37"/>
      <c r="M587" s="37"/>
      <c r="N587" s="37"/>
      <c r="O587" s="37"/>
      <c r="P587" s="37"/>
      <c r="Q587" s="37"/>
      <c r="R587" s="37"/>
      <c r="S587" s="37"/>
      <c r="T587" s="38"/>
      <c r="U587" s="40"/>
      <c r="V587" s="40"/>
      <c r="W587" s="40"/>
      <c r="X587" s="41"/>
      <c r="Y587" s="37"/>
      <c r="Z587" s="37"/>
      <c r="AA587" s="37"/>
      <c r="AB587" s="37"/>
      <c r="AC587" s="37"/>
      <c r="AD587" s="40"/>
      <c r="AE587" s="40"/>
      <c r="AF587" s="40"/>
      <c r="AG587" s="42"/>
      <c r="AH587" s="36"/>
      <c r="AI587" s="36"/>
    </row>
    <row r="588" spans="1:35" x14ac:dyDescent="0.3">
      <c r="A588" s="32" t="str">
        <f t="shared" si="54"/>
        <v/>
      </c>
      <c r="B588" s="33" t="str">
        <f t="shared" si="55"/>
        <v/>
      </c>
      <c r="C588" s="33" t="str">
        <f t="shared" si="56"/>
        <v/>
      </c>
      <c r="D588" s="34"/>
      <c r="E588" s="33" t="str">
        <f t="shared" si="57"/>
        <v/>
      </c>
      <c r="F588" s="33" t="str">
        <f t="shared" si="58"/>
        <v/>
      </c>
      <c r="G588" s="35"/>
      <c r="H588" s="35"/>
      <c r="I588" s="33"/>
      <c r="J588" s="33" t="str">
        <f t="shared" si="59"/>
        <v/>
      </c>
      <c r="K588" s="36"/>
      <c r="L588" s="37"/>
      <c r="M588" s="37"/>
      <c r="N588" s="37"/>
      <c r="O588" s="37"/>
      <c r="P588" s="37"/>
      <c r="Q588" s="37"/>
      <c r="R588" s="37"/>
      <c r="S588" s="37"/>
      <c r="T588" s="38"/>
      <c r="U588" s="40"/>
      <c r="V588" s="40"/>
      <c r="W588" s="40"/>
      <c r="X588" s="41"/>
      <c r="Y588" s="37"/>
      <c r="Z588" s="37"/>
      <c r="AA588" s="37"/>
      <c r="AB588" s="37"/>
      <c r="AC588" s="37"/>
      <c r="AD588" s="40"/>
      <c r="AE588" s="40"/>
      <c r="AF588" s="40"/>
      <c r="AG588" s="42"/>
      <c r="AH588" s="36"/>
      <c r="AI588" s="36"/>
    </row>
    <row r="589" spans="1:35" x14ac:dyDescent="0.3">
      <c r="A589" s="32" t="str">
        <f t="shared" si="54"/>
        <v/>
      </c>
      <c r="B589" s="33" t="str">
        <f t="shared" si="55"/>
        <v/>
      </c>
      <c r="C589" s="33" t="str">
        <f t="shared" si="56"/>
        <v/>
      </c>
      <c r="D589" s="34"/>
      <c r="E589" s="33" t="str">
        <f t="shared" si="57"/>
        <v/>
      </c>
      <c r="F589" s="33" t="str">
        <f t="shared" si="58"/>
        <v/>
      </c>
      <c r="G589" s="35"/>
      <c r="H589" s="35"/>
      <c r="I589" s="33"/>
      <c r="J589" s="33" t="str">
        <f t="shared" si="59"/>
        <v/>
      </c>
      <c r="K589" s="36"/>
      <c r="L589" s="37"/>
      <c r="M589" s="37"/>
      <c r="N589" s="37"/>
      <c r="O589" s="37"/>
      <c r="P589" s="37"/>
      <c r="Q589" s="37"/>
      <c r="R589" s="37"/>
      <c r="S589" s="37"/>
      <c r="T589" s="38"/>
      <c r="U589" s="40"/>
      <c r="V589" s="40"/>
      <c r="W589" s="40"/>
      <c r="X589" s="41"/>
      <c r="Y589" s="37"/>
      <c r="Z589" s="37"/>
      <c r="AA589" s="37"/>
      <c r="AB589" s="37"/>
      <c r="AC589" s="37"/>
      <c r="AD589" s="40"/>
      <c r="AE589" s="40"/>
      <c r="AF589" s="40"/>
      <c r="AG589" s="42"/>
      <c r="AH589" s="36"/>
      <c r="AI589" s="36"/>
    </row>
    <row r="590" spans="1:35" x14ac:dyDescent="0.3">
      <c r="A590" s="32" t="str">
        <f t="shared" si="54"/>
        <v/>
      </c>
      <c r="B590" s="33" t="str">
        <f t="shared" si="55"/>
        <v/>
      </c>
      <c r="C590" s="33" t="str">
        <f t="shared" si="56"/>
        <v/>
      </c>
      <c r="D590" s="34"/>
      <c r="E590" s="33" t="str">
        <f t="shared" si="57"/>
        <v/>
      </c>
      <c r="F590" s="33" t="str">
        <f t="shared" si="58"/>
        <v/>
      </c>
      <c r="G590" s="35"/>
      <c r="H590" s="35"/>
      <c r="I590" s="33"/>
      <c r="J590" s="33" t="str">
        <f t="shared" si="59"/>
        <v/>
      </c>
      <c r="K590" s="36"/>
      <c r="L590" s="37"/>
      <c r="M590" s="37"/>
      <c r="N590" s="37"/>
      <c r="O590" s="37"/>
      <c r="P590" s="37"/>
      <c r="Q590" s="37"/>
      <c r="R590" s="37"/>
      <c r="S590" s="37"/>
      <c r="T590" s="38"/>
      <c r="U590" s="40"/>
      <c r="V590" s="40"/>
      <c r="W590" s="40"/>
      <c r="X590" s="41"/>
      <c r="Y590" s="37"/>
      <c r="Z590" s="37"/>
      <c r="AA590" s="37"/>
      <c r="AB590" s="37"/>
      <c r="AC590" s="37"/>
      <c r="AD590" s="40"/>
      <c r="AE590" s="40"/>
      <c r="AF590" s="40"/>
      <c r="AG590" s="42"/>
      <c r="AH590" s="36"/>
      <c r="AI590" s="36"/>
    </row>
    <row r="591" spans="1:35" x14ac:dyDescent="0.3">
      <c r="A591" s="32" t="str">
        <f t="shared" si="54"/>
        <v/>
      </c>
      <c r="B591" s="33" t="str">
        <f t="shared" si="55"/>
        <v/>
      </c>
      <c r="C591" s="33" t="str">
        <f t="shared" si="56"/>
        <v/>
      </c>
      <c r="D591" s="34"/>
      <c r="E591" s="33" t="str">
        <f t="shared" si="57"/>
        <v/>
      </c>
      <c r="F591" s="33" t="str">
        <f t="shared" si="58"/>
        <v/>
      </c>
      <c r="G591" s="35"/>
      <c r="H591" s="35"/>
      <c r="I591" s="33"/>
      <c r="J591" s="33" t="str">
        <f t="shared" si="59"/>
        <v/>
      </c>
      <c r="K591" s="36"/>
      <c r="L591" s="37"/>
      <c r="M591" s="37"/>
      <c r="N591" s="37"/>
      <c r="O591" s="37"/>
      <c r="P591" s="37"/>
      <c r="Q591" s="37"/>
      <c r="R591" s="37"/>
      <c r="S591" s="37"/>
      <c r="T591" s="38"/>
      <c r="U591" s="40"/>
      <c r="V591" s="40"/>
      <c r="W591" s="40"/>
      <c r="X591" s="41"/>
      <c r="Y591" s="37"/>
      <c r="Z591" s="37"/>
      <c r="AA591" s="37"/>
      <c r="AB591" s="37"/>
      <c r="AC591" s="37"/>
      <c r="AD591" s="40"/>
      <c r="AE591" s="40"/>
      <c r="AF591" s="40"/>
      <c r="AG591" s="42"/>
      <c r="AH591" s="36"/>
      <c r="AI591" s="36"/>
    </row>
    <row r="592" spans="1:35" x14ac:dyDescent="0.3">
      <c r="A592" s="32" t="str">
        <f t="shared" si="54"/>
        <v/>
      </c>
      <c r="B592" s="33" t="str">
        <f t="shared" si="55"/>
        <v/>
      </c>
      <c r="C592" s="33" t="str">
        <f t="shared" si="56"/>
        <v/>
      </c>
      <c r="D592" s="34"/>
      <c r="E592" s="33" t="str">
        <f t="shared" si="57"/>
        <v/>
      </c>
      <c r="F592" s="33" t="str">
        <f t="shared" si="58"/>
        <v/>
      </c>
      <c r="G592" s="35"/>
      <c r="H592" s="35"/>
      <c r="I592" s="33"/>
      <c r="J592" s="33" t="str">
        <f t="shared" si="59"/>
        <v/>
      </c>
      <c r="K592" s="36"/>
      <c r="L592" s="37"/>
      <c r="M592" s="37"/>
      <c r="N592" s="37"/>
      <c r="O592" s="37"/>
      <c r="P592" s="37"/>
      <c r="Q592" s="37"/>
      <c r="R592" s="37"/>
      <c r="S592" s="37"/>
      <c r="T592" s="38"/>
      <c r="U592" s="40"/>
      <c r="V592" s="40"/>
      <c r="W592" s="40"/>
      <c r="X592" s="41"/>
      <c r="Y592" s="37"/>
      <c r="Z592" s="37"/>
      <c r="AA592" s="37"/>
      <c r="AB592" s="37"/>
      <c r="AC592" s="37"/>
      <c r="AD592" s="40"/>
      <c r="AE592" s="40"/>
      <c r="AF592" s="40"/>
      <c r="AG592" s="42"/>
      <c r="AH592" s="36"/>
      <c r="AI592" s="36"/>
    </row>
    <row r="593" spans="1:35" x14ac:dyDescent="0.3">
      <c r="A593" s="32" t="str">
        <f t="shared" ref="A593:A656" si="60">IF($K593="", "", ROW()-15)</f>
        <v/>
      </c>
      <c r="B593" s="33" t="str">
        <f t="shared" ref="B593:B656" si="61">IFERROR(IF(ISNUMBER(SEARCH("Q", $K593)), "Q", MID(RIGHT($J593, 4), 1, 1)), "")</f>
        <v/>
      </c>
      <c r="C593" s="33" t="str">
        <f t="shared" ref="C593:C656" si="62">IFERROR(IF(ISNUMBER(SEARCH("Q", $K593)), LEFT($K593, LEN($K593)-15), LEFT($K593, LEN($K593)-8)), "")</f>
        <v/>
      </c>
      <c r="D593" s="34"/>
      <c r="E593" s="33" t="str">
        <f t="shared" ref="E593:E656" si="63">IFERROR(IF($F593="", "", IF($F593="01", "최초", "추가")), " ")</f>
        <v/>
      </c>
      <c r="F593" s="33" t="str">
        <f t="shared" ref="F593:F656" si="64">IFERROR(IF(ISNUMBER(SEARCH("Q", $K593)), MID(RIGHT($K593, 9), 1, 2), RIGHT($K593, 2)), "")</f>
        <v/>
      </c>
      <c r="G593" s="35"/>
      <c r="H593" s="35"/>
      <c r="I593" s="33"/>
      <c r="J593" s="33" t="str">
        <f t="shared" ref="J593:J656" si="65">IFERROR(IF(ISNUMBER(SEARCH("Q", $K593)), LEFT($K593, LEN($K593)-10), LEFT($K593, LEN($K593)-3)), "")</f>
        <v/>
      </c>
      <c r="K593" s="36"/>
      <c r="L593" s="37"/>
      <c r="M593" s="37"/>
      <c r="N593" s="37"/>
      <c r="O593" s="37"/>
      <c r="P593" s="37"/>
      <c r="Q593" s="37"/>
      <c r="R593" s="37"/>
      <c r="S593" s="37"/>
      <c r="T593" s="38"/>
      <c r="U593" s="40"/>
      <c r="V593" s="40"/>
      <c r="W593" s="40"/>
      <c r="X593" s="41"/>
      <c r="Y593" s="37"/>
      <c r="Z593" s="37"/>
      <c r="AA593" s="37"/>
      <c r="AB593" s="37"/>
      <c r="AC593" s="37"/>
      <c r="AD593" s="40"/>
      <c r="AE593" s="40"/>
      <c r="AF593" s="40"/>
      <c r="AG593" s="42"/>
      <c r="AH593" s="36"/>
      <c r="AI593" s="36"/>
    </row>
    <row r="594" spans="1:35" x14ac:dyDescent="0.3">
      <c r="A594" s="32" t="str">
        <f t="shared" si="60"/>
        <v/>
      </c>
      <c r="B594" s="33" t="str">
        <f t="shared" si="61"/>
        <v/>
      </c>
      <c r="C594" s="33" t="str">
        <f t="shared" si="62"/>
        <v/>
      </c>
      <c r="D594" s="34"/>
      <c r="E594" s="33" t="str">
        <f t="shared" si="63"/>
        <v/>
      </c>
      <c r="F594" s="33" t="str">
        <f t="shared" si="64"/>
        <v/>
      </c>
      <c r="G594" s="35"/>
      <c r="H594" s="35"/>
      <c r="I594" s="33"/>
      <c r="J594" s="33" t="str">
        <f t="shared" si="65"/>
        <v/>
      </c>
      <c r="K594" s="36"/>
      <c r="L594" s="37"/>
      <c r="M594" s="37"/>
      <c r="N594" s="37"/>
      <c r="O594" s="37"/>
      <c r="P594" s="37"/>
      <c r="Q594" s="37"/>
      <c r="R594" s="37"/>
      <c r="S594" s="37"/>
      <c r="T594" s="38"/>
      <c r="U594" s="40"/>
      <c r="V594" s="40"/>
      <c r="W594" s="40"/>
      <c r="X594" s="41"/>
      <c r="Y594" s="37"/>
      <c r="Z594" s="37"/>
      <c r="AA594" s="37"/>
      <c r="AB594" s="37"/>
      <c r="AC594" s="37"/>
      <c r="AD594" s="40"/>
      <c r="AE594" s="40"/>
      <c r="AF594" s="40"/>
      <c r="AG594" s="42"/>
      <c r="AH594" s="36"/>
      <c r="AI594" s="36"/>
    </row>
    <row r="595" spans="1:35" x14ac:dyDescent="0.3">
      <c r="A595" s="32" t="str">
        <f t="shared" si="60"/>
        <v/>
      </c>
      <c r="B595" s="33" t="str">
        <f t="shared" si="61"/>
        <v/>
      </c>
      <c r="C595" s="33" t="str">
        <f t="shared" si="62"/>
        <v/>
      </c>
      <c r="D595" s="34"/>
      <c r="E595" s="33" t="str">
        <f t="shared" si="63"/>
        <v/>
      </c>
      <c r="F595" s="33" t="str">
        <f t="shared" si="64"/>
        <v/>
      </c>
      <c r="G595" s="35"/>
      <c r="H595" s="35"/>
      <c r="I595" s="33"/>
      <c r="J595" s="33" t="str">
        <f t="shared" si="65"/>
        <v/>
      </c>
      <c r="K595" s="36"/>
      <c r="L595" s="37"/>
      <c r="M595" s="37"/>
      <c r="N595" s="37"/>
      <c r="O595" s="37"/>
      <c r="P595" s="37"/>
      <c r="Q595" s="37"/>
      <c r="R595" s="37"/>
      <c r="S595" s="37"/>
      <c r="T595" s="38"/>
      <c r="U595" s="40"/>
      <c r="V595" s="40"/>
      <c r="W595" s="40"/>
      <c r="X595" s="41"/>
      <c r="Y595" s="37"/>
      <c r="Z595" s="37"/>
      <c r="AA595" s="37"/>
      <c r="AB595" s="37"/>
      <c r="AC595" s="37"/>
      <c r="AD595" s="40"/>
      <c r="AE595" s="40"/>
      <c r="AF595" s="40"/>
      <c r="AG595" s="42"/>
      <c r="AH595" s="36"/>
      <c r="AI595" s="36"/>
    </row>
    <row r="596" spans="1:35" x14ac:dyDescent="0.3">
      <c r="A596" s="32" t="str">
        <f t="shared" si="60"/>
        <v/>
      </c>
      <c r="B596" s="33" t="str">
        <f t="shared" si="61"/>
        <v/>
      </c>
      <c r="C596" s="33" t="str">
        <f t="shared" si="62"/>
        <v/>
      </c>
      <c r="D596" s="34"/>
      <c r="E596" s="33" t="str">
        <f t="shared" si="63"/>
        <v/>
      </c>
      <c r="F596" s="33" t="str">
        <f t="shared" si="64"/>
        <v/>
      </c>
      <c r="G596" s="35"/>
      <c r="H596" s="35"/>
      <c r="I596" s="33"/>
      <c r="J596" s="33" t="str">
        <f t="shared" si="65"/>
        <v/>
      </c>
      <c r="K596" s="36"/>
      <c r="L596" s="37"/>
      <c r="M596" s="37"/>
      <c r="N596" s="37"/>
      <c r="O596" s="37"/>
      <c r="P596" s="37"/>
      <c r="Q596" s="37"/>
      <c r="R596" s="37"/>
      <c r="S596" s="37"/>
      <c r="T596" s="38"/>
      <c r="U596" s="40"/>
      <c r="V596" s="40"/>
      <c r="W596" s="40"/>
      <c r="X596" s="41"/>
      <c r="Y596" s="37"/>
      <c r="Z596" s="37"/>
      <c r="AA596" s="37"/>
      <c r="AB596" s="37"/>
      <c r="AC596" s="37"/>
      <c r="AD596" s="40"/>
      <c r="AE596" s="40"/>
      <c r="AF596" s="40"/>
      <c r="AG596" s="42"/>
      <c r="AH596" s="36"/>
      <c r="AI596" s="36"/>
    </row>
    <row r="597" spans="1:35" x14ac:dyDescent="0.3">
      <c r="A597" s="32" t="str">
        <f t="shared" si="60"/>
        <v/>
      </c>
      <c r="B597" s="33" t="str">
        <f t="shared" si="61"/>
        <v/>
      </c>
      <c r="C597" s="33" t="str">
        <f t="shared" si="62"/>
        <v/>
      </c>
      <c r="D597" s="34"/>
      <c r="E597" s="33" t="str">
        <f t="shared" si="63"/>
        <v/>
      </c>
      <c r="F597" s="33" t="str">
        <f t="shared" si="64"/>
        <v/>
      </c>
      <c r="G597" s="35"/>
      <c r="H597" s="35"/>
      <c r="I597" s="33"/>
      <c r="J597" s="33" t="str">
        <f t="shared" si="65"/>
        <v/>
      </c>
      <c r="K597" s="36"/>
      <c r="L597" s="37"/>
      <c r="M597" s="37"/>
      <c r="N597" s="37"/>
      <c r="O597" s="37"/>
      <c r="P597" s="37"/>
      <c r="Q597" s="37"/>
      <c r="R597" s="37"/>
      <c r="S597" s="37"/>
      <c r="T597" s="38"/>
      <c r="U597" s="40"/>
      <c r="V597" s="40"/>
      <c r="W597" s="40"/>
      <c r="X597" s="41"/>
      <c r="Y597" s="37"/>
      <c r="Z597" s="37"/>
      <c r="AA597" s="37"/>
      <c r="AB597" s="37"/>
      <c r="AC597" s="37"/>
      <c r="AD597" s="40"/>
      <c r="AE597" s="40"/>
      <c r="AF597" s="40"/>
      <c r="AG597" s="42"/>
      <c r="AH597" s="36"/>
      <c r="AI597" s="36"/>
    </row>
    <row r="598" spans="1:35" x14ac:dyDescent="0.3">
      <c r="A598" s="32" t="str">
        <f t="shared" si="60"/>
        <v/>
      </c>
      <c r="B598" s="33" t="str">
        <f t="shared" si="61"/>
        <v/>
      </c>
      <c r="C598" s="33" t="str">
        <f t="shared" si="62"/>
        <v/>
      </c>
      <c r="D598" s="34"/>
      <c r="E598" s="33" t="str">
        <f t="shared" si="63"/>
        <v/>
      </c>
      <c r="F598" s="33" t="str">
        <f t="shared" si="64"/>
        <v/>
      </c>
      <c r="G598" s="35"/>
      <c r="H598" s="35"/>
      <c r="I598" s="33"/>
      <c r="J598" s="33" t="str">
        <f t="shared" si="65"/>
        <v/>
      </c>
      <c r="K598" s="36"/>
      <c r="L598" s="37"/>
      <c r="M598" s="37"/>
      <c r="N598" s="37"/>
      <c r="O598" s="37"/>
      <c r="P598" s="37"/>
      <c r="Q598" s="37"/>
      <c r="R598" s="37"/>
      <c r="S598" s="37"/>
      <c r="T598" s="38"/>
      <c r="U598" s="40"/>
      <c r="V598" s="40"/>
      <c r="W598" s="40"/>
      <c r="X598" s="41"/>
      <c r="Y598" s="37"/>
      <c r="Z598" s="37"/>
      <c r="AA598" s="37"/>
      <c r="AB598" s="37"/>
      <c r="AC598" s="37"/>
      <c r="AD598" s="40"/>
      <c r="AE598" s="40"/>
      <c r="AF598" s="40"/>
      <c r="AG598" s="42"/>
      <c r="AH598" s="36"/>
      <c r="AI598" s="36"/>
    </row>
    <row r="599" spans="1:35" x14ac:dyDescent="0.3">
      <c r="A599" s="32" t="str">
        <f t="shared" si="60"/>
        <v/>
      </c>
      <c r="B599" s="33" t="str">
        <f t="shared" si="61"/>
        <v/>
      </c>
      <c r="C599" s="33" t="str">
        <f t="shared" si="62"/>
        <v/>
      </c>
      <c r="D599" s="34"/>
      <c r="E599" s="33" t="str">
        <f t="shared" si="63"/>
        <v/>
      </c>
      <c r="F599" s="33" t="str">
        <f t="shared" si="64"/>
        <v/>
      </c>
      <c r="G599" s="35"/>
      <c r="H599" s="35"/>
      <c r="I599" s="33"/>
      <c r="J599" s="33" t="str">
        <f t="shared" si="65"/>
        <v/>
      </c>
      <c r="K599" s="36"/>
      <c r="L599" s="37"/>
      <c r="M599" s="37"/>
      <c r="N599" s="37"/>
      <c r="O599" s="37"/>
      <c r="P599" s="37"/>
      <c r="Q599" s="37"/>
      <c r="R599" s="37"/>
      <c r="S599" s="37"/>
      <c r="T599" s="38"/>
      <c r="U599" s="40"/>
      <c r="V599" s="40"/>
      <c r="W599" s="40"/>
      <c r="X599" s="41"/>
      <c r="Y599" s="37"/>
      <c r="Z599" s="37"/>
      <c r="AA599" s="37"/>
      <c r="AB599" s="37"/>
      <c r="AC599" s="37"/>
      <c r="AD599" s="40"/>
      <c r="AE599" s="40"/>
      <c r="AF599" s="40"/>
      <c r="AG599" s="42"/>
      <c r="AH599" s="36"/>
      <c r="AI599" s="36"/>
    </row>
    <row r="600" spans="1:35" x14ac:dyDescent="0.3">
      <c r="A600" s="32" t="str">
        <f t="shared" si="60"/>
        <v/>
      </c>
      <c r="B600" s="33" t="str">
        <f t="shared" si="61"/>
        <v/>
      </c>
      <c r="C600" s="33" t="str">
        <f t="shared" si="62"/>
        <v/>
      </c>
      <c r="D600" s="34"/>
      <c r="E600" s="33" t="str">
        <f t="shared" si="63"/>
        <v/>
      </c>
      <c r="F600" s="33" t="str">
        <f t="shared" si="64"/>
        <v/>
      </c>
      <c r="G600" s="35"/>
      <c r="H600" s="35"/>
      <c r="I600" s="33"/>
      <c r="J600" s="33" t="str">
        <f t="shared" si="65"/>
        <v/>
      </c>
      <c r="K600" s="36"/>
      <c r="L600" s="37"/>
      <c r="M600" s="37"/>
      <c r="N600" s="37"/>
      <c r="O600" s="37"/>
      <c r="P600" s="37"/>
      <c r="Q600" s="37"/>
      <c r="R600" s="37"/>
      <c r="S600" s="37"/>
      <c r="T600" s="38"/>
      <c r="U600" s="40"/>
      <c r="V600" s="40"/>
      <c r="W600" s="40"/>
      <c r="X600" s="41"/>
      <c r="Y600" s="37"/>
      <c r="Z600" s="37"/>
      <c r="AA600" s="37"/>
      <c r="AB600" s="37"/>
      <c r="AC600" s="37"/>
      <c r="AD600" s="40"/>
      <c r="AE600" s="40"/>
      <c r="AF600" s="40"/>
      <c r="AG600" s="42"/>
      <c r="AH600" s="36"/>
      <c r="AI600" s="36"/>
    </row>
    <row r="601" spans="1:35" x14ac:dyDescent="0.3">
      <c r="A601" s="32" t="str">
        <f t="shared" si="60"/>
        <v/>
      </c>
      <c r="B601" s="33" t="str">
        <f t="shared" si="61"/>
        <v/>
      </c>
      <c r="C601" s="33" t="str">
        <f t="shared" si="62"/>
        <v/>
      </c>
      <c r="D601" s="34"/>
      <c r="E601" s="33" t="str">
        <f t="shared" si="63"/>
        <v/>
      </c>
      <c r="F601" s="33" t="str">
        <f t="shared" si="64"/>
        <v/>
      </c>
      <c r="G601" s="35"/>
      <c r="H601" s="35"/>
      <c r="I601" s="33"/>
      <c r="J601" s="33" t="str">
        <f t="shared" si="65"/>
        <v/>
      </c>
      <c r="K601" s="36"/>
      <c r="L601" s="37"/>
      <c r="M601" s="37"/>
      <c r="N601" s="37"/>
      <c r="O601" s="37"/>
      <c r="P601" s="37"/>
      <c r="Q601" s="37"/>
      <c r="R601" s="37"/>
      <c r="S601" s="37"/>
      <c r="T601" s="38"/>
      <c r="U601" s="40"/>
      <c r="V601" s="40"/>
      <c r="W601" s="40"/>
      <c r="X601" s="41"/>
      <c r="Y601" s="37"/>
      <c r="Z601" s="37"/>
      <c r="AA601" s="37"/>
      <c r="AB601" s="37"/>
      <c r="AC601" s="37"/>
      <c r="AD601" s="40"/>
      <c r="AE601" s="40"/>
      <c r="AF601" s="40"/>
      <c r="AG601" s="42"/>
      <c r="AH601" s="36"/>
      <c r="AI601" s="36"/>
    </row>
    <row r="602" spans="1:35" x14ac:dyDescent="0.3">
      <c r="A602" s="32" t="str">
        <f t="shared" si="60"/>
        <v/>
      </c>
      <c r="B602" s="33" t="str">
        <f t="shared" si="61"/>
        <v/>
      </c>
      <c r="C602" s="33" t="str">
        <f t="shared" si="62"/>
        <v/>
      </c>
      <c r="D602" s="34"/>
      <c r="E602" s="33" t="str">
        <f t="shared" si="63"/>
        <v/>
      </c>
      <c r="F602" s="33" t="str">
        <f t="shared" si="64"/>
        <v/>
      </c>
      <c r="G602" s="35"/>
      <c r="H602" s="35"/>
      <c r="I602" s="33"/>
      <c r="J602" s="33" t="str">
        <f t="shared" si="65"/>
        <v/>
      </c>
      <c r="K602" s="36"/>
      <c r="L602" s="37"/>
      <c r="M602" s="37"/>
      <c r="N602" s="37"/>
      <c r="O602" s="37"/>
      <c r="P602" s="37"/>
      <c r="Q602" s="37"/>
      <c r="R602" s="37"/>
      <c r="S602" s="37"/>
      <c r="T602" s="38"/>
      <c r="U602" s="40"/>
      <c r="V602" s="40"/>
      <c r="W602" s="40"/>
      <c r="X602" s="41"/>
      <c r="Y602" s="37"/>
      <c r="Z602" s="37"/>
      <c r="AA602" s="37"/>
      <c r="AB602" s="37"/>
      <c r="AC602" s="37"/>
      <c r="AD602" s="40"/>
      <c r="AE602" s="40"/>
      <c r="AF602" s="40"/>
      <c r="AG602" s="42"/>
      <c r="AH602" s="36"/>
      <c r="AI602" s="36"/>
    </row>
    <row r="603" spans="1:35" x14ac:dyDescent="0.3">
      <c r="A603" s="32" t="str">
        <f t="shared" si="60"/>
        <v/>
      </c>
      <c r="B603" s="33" t="str">
        <f t="shared" si="61"/>
        <v/>
      </c>
      <c r="C603" s="33" t="str">
        <f t="shared" si="62"/>
        <v/>
      </c>
      <c r="D603" s="34"/>
      <c r="E603" s="33" t="str">
        <f t="shared" si="63"/>
        <v/>
      </c>
      <c r="F603" s="33" t="str">
        <f t="shared" si="64"/>
        <v/>
      </c>
      <c r="G603" s="35"/>
      <c r="H603" s="35"/>
      <c r="I603" s="33"/>
      <c r="J603" s="33" t="str">
        <f t="shared" si="65"/>
        <v/>
      </c>
      <c r="K603" s="36"/>
      <c r="L603" s="37"/>
      <c r="M603" s="37"/>
      <c r="N603" s="37"/>
      <c r="O603" s="37"/>
      <c r="P603" s="37"/>
      <c r="Q603" s="37"/>
      <c r="R603" s="37"/>
      <c r="S603" s="37"/>
      <c r="T603" s="38"/>
      <c r="U603" s="40"/>
      <c r="V603" s="40"/>
      <c r="W603" s="40"/>
      <c r="X603" s="41"/>
      <c r="Y603" s="37"/>
      <c r="Z603" s="37"/>
      <c r="AA603" s="37"/>
      <c r="AB603" s="37"/>
      <c r="AC603" s="37"/>
      <c r="AD603" s="40"/>
      <c r="AE603" s="40"/>
      <c r="AF603" s="40"/>
      <c r="AG603" s="42"/>
      <c r="AH603" s="36"/>
      <c r="AI603" s="36"/>
    </row>
    <row r="604" spans="1:35" x14ac:dyDescent="0.3">
      <c r="A604" s="32" t="str">
        <f t="shared" si="60"/>
        <v/>
      </c>
      <c r="B604" s="33" t="str">
        <f t="shared" si="61"/>
        <v/>
      </c>
      <c r="C604" s="33" t="str">
        <f t="shared" si="62"/>
        <v/>
      </c>
      <c r="D604" s="34"/>
      <c r="E604" s="33" t="str">
        <f t="shared" si="63"/>
        <v/>
      </c>
      <c r="F604" s="33" t="str">
        <f t="shared" si="64"/>
        <v/>
      </c>
      <c r="G604" s="35"/>
      <c r="H604" s="35"/>
      <c r="I604" s="33"/>
      <c r="J604" s="33" t="str">
        <f t="shared" si="65"/>
        <v/>
      </c>
      <c r="K604" s="36"/>
      <c r="L604" s="37"/>
      <c r="M604" s="37"/>
      <c r="N604" s="37"/>
      <c r="O604" s="37"/>
      <c r="P604" s="37"/>
      <c r="Q604" s="37"/>
      <c r="R604" s="37"/>
      <c r="S604" s="37"/>
      <c r="T604" s="38"/>
      <c r="U604" s="40"/>
      <c r="V604" s="40"/>
      <c r="W604" s="40"/>
      <c r="X604" s="41"/>
      <c r="Y604" s="37"/>
      <c r="Z604" s="37"/>
      <c r="AA604" s="37"/>
      <c r="AB604" s="37"/>
      <c r="AC604" s="37"/>
      <c r="AD604" s="40"/>
      <c r="AE604" s="40"/>
      <c r="AF604" s="40"/>
      <c r="AG604" s="42"/>
      <c r="AH604" s="36"/>
      <c r="AI604" s="36"/>
    </row>
    <row r="605" spans="1:35" x14ac:dyDescent="0.3">
      <c r="A605" s="32" t="str">
        <f t="shared" si="60"/>
        <v/>
      </c>
      <c r="B605" s="33" t="str">
        <f t="shared" si="61"/>
        <v/>
      </c>
      <c r="C605" s="33" t="str">
        <f t="shared" si="62"/>
        <v/>
      </c>
      <c r="D605" s="34"/>
      <c r="E605" s="33" t="str">
        <f t="shared" si="63"/>
        <v/>
      </c>
      <c r="F605" s="33" t="str">
        <f t="shared" si="64"/>
        <v/>
      </c>
      <c r="G605" s="35"/>
      <c r="H605" s="35"/>
      <c r="I605" s="33"/>
      <c r="J605" s="33" t="str">
        <f t="shared" si="65"/>
        <v/>
      </c>
      <c r="K605" s="36"/>
      <c r="L605" s="37"/>
      <c r="M605" s="37"/>
      <c r="N605" s="37"/>
      <c r="O605" s="37"/>
      <c r="P605" s="37"/>
      <c r="Q605" s="37"/>
      <c r="R605" s="37"/>
      <c r="S605" s="37"/>
      <c r="T605" s="38"/>
      <c r="U605" s="40"/>
      <c r="V605" s="40"/>
      <c r="W605" s="40"/>
      <c r="X605" s="41"/>
      <c r="Y605" s="37"/>
      <c r="Z605" s="37"/>
      <c r="AA605" s="37"/>
      <c r="AB605" s="37"/>
      <c r="AC605" s="37"/>
      <c r="AD605" s="40"/>
      <c r="AE605" s="40"/>
      <c r="AF605" s="40"/>
      <c r="AG605" s="42"/>
      <c r="AH605" s="36"/>
      <c r="AI605" s="36"/>
    </row>
    <row r="606" spans="1:35" x14ac:dyDescent="0.3">
      <c r="A606" s="32" t="str">
        <f t="shared" si="60"/>
        <v/>
      </c>
      <c r="B606" s="33" t="str">
        <f t="shared" si="61"/>
        <v/>
      </c>
      <c r="C606" s="33" t="str">
        <f t="shared" si="62"/>
        <v/>
      </c>
      <c r="D606" s="34"/>
      <c r="E606" s="33" t="str">
        <f t="shared" si="63"/>
        <v/>
      </c>
      <c r="F606" s="33" t="str">
        <f t="shared" si="64"/>
        <v/>
      </c>
      <c r="G606" s="35"/>
      <c r="H606" s="35"/>
      <c r="I606" s="33"/>
      <c r="J606" s="33" t="str">
        <f t="shared" si="65"/>
        <v/>
      </c>
      <c r="K606" s="36"/>
      <c r="L606" s="37"/>
      <c r="M606" s="37"/>
      <c r="N606" s="37"/>
      <c r="O606" s="37"/>
      <c r="P606" s="37"/>
      <c r="Q606" s="37"/>
      <c r="R606" s="37"/>
      <c r="S606" s="37"/>
      <c r="T606" s="38"/>
      <c r="U606" s="40"/>
      <c r="V606" s="40"/>
      <c r="W606" s="40"/>
      <c r="X606" s="41"/>
      <c r="Y606" s="37"/>
      <c r="Z606" s="37"/>
      <c r="AA606" s="37"/>
      <c r="AB606" s="37"/>
      <c r="AC606" s="37"/>
      <c r="AD606" s="40"/>
      <c r="AE606" s="40"/>
      <c r="AF606" s="40"/>
      <c r="AG606" s="42"/>
      <c r="AH606" s="36"/>
      <c r="AI606" s="36"/>
    </row>
    <row r="607" spans="1:35" x14ac:dyDescent="0.3">
      <c r="A607" s="32" t="str">
        <f t="shared" si="60"/>
        <v/>
      </c>
      <c r="B607" s="33" t="str">
        <f t="shared" si="61"/>
        <v/>
      </c>
      <c r="C607" s="33" t="str">
        <f t="shared" si="62"/>
        <v/>
      </c>
      <c r="D607" s="34"/>
      <c r="E607" s="33" t="str">
        <f t="shared" si="63"/>
        <v/>
      </c>
      <c r="F607" s="33" t="str">
        <f t="shared" si="64"/>
        <v/>
      </c>
      <c r="G607" s="35"/>
      <c r="H607" s="35"/>
      <c r="I607" s="33"/>
      <c r="J607" s="33" t="str">
        <f t="shared" si="65"/>
        <v/>
      </c>
      <c r="K607" s="36"/>
      <c r="L607" s="37"/>
      <c r="M607" s="37"/>
      <c r="N607" s="37"/>
      <c r="O607" s="37"/>
      <c r="P607" s="37"/>
      <c r="Q607" s="37"/>
      <c r="R607" s="37"/>
      <c r="S607" s="37"/>
      <c r="T607" s="38"/>
      <c r="U607" s="40"/>
      <c r="V607" s="40"/>
      <c r="W607" s="40"/>
      <c r="X607" s="41"/>
      <c r="Y607" s="37"/>
      <c r="Z607" s="37"/>
      <c r="AA607" s="37"/>
      <c r="AB607" s="37"/>
      <c r="AC607" s="37"/>
      <c r="AD607" s="40"/>
      <c r="AE607" s="40"/>
      <c r="AF607" s="40"/>
      <c r="AG607" s="42"/>
      <c r="AH607" s="36"/>
      <c r="AI607" s="36"/>
    </row>
    <row r="608" spans="1:35" x14ac:dyDescent="0.3">
      <c r="A608" s="32" t="str">
        <f t="shared" si="60"/>
        <v/>
      </c>
      <c r="B608" s="33" t="str">
        <f t="shared" si="61"/>
        <v/>
      </c>
      <c r="C608" s="33" t="str">
        <f t="shared" si="62"/>
        <v/>
      </c>
      <c r="D608" s="34"/>
      <c r="E608" s="33" t="str">
        <f t="shared" si="63"/>
        <v/>
      </c>
      <c r="F608" s="33" t="str">
        <f t="shared" si="64"/>
        <v/>
      </c>
      <c r="G608" s="35"/>
      <c r="H608" s="35"/>
      <c r="I608" s="33"/>
      <c r="J608" s="33" t="str">
        <f t="shared" si="65"/>
        <v/>
      </c>
      <c r="K608" s="36"/>
      <c r="L608" s="37"/>
      <c r="M608" s="37"/>
      <c r="N608" s="37"/>
      <c r="O608" s="37"/>
      <c r="P608" s="37"/>
      <c r="Q608" s="37"/>
      <c r="R608" s="37"/>
      <c r="S608" s="37"/>
      <c r="T608" s="38"/>
      <c r="U608" s="40"/>
      <c r="V608" s="40"/>
      <c r="W608" s="40"/>
      <c r="X608" s="41"/>
      <c r="Y608" s="37"/>
      <c r="Z608" s="37"/>
      <c r="AA608" s="37"/>
      <c r="AB608" s="37"/>
      <c r="AC608" s="37"/>
      <c r="AD608" s="40"/>
      <c r="AE608" s="40"/>
      <c r="AF608" s="40"/>
      <c r="AG608" s="42"/>
      <c r="AH608" s="36"/>
      <c r="AI608" s="36"/>
    </row>
    <row r="609" spans="1:35" x14ac:dyDescent="0.3">
      <c r="A609" s="32" t="str">
        <f t="shared" si="60"/>
        <v/>
      </c>
      <c r="B609" s="33" t="str">
        <f t="shared" si="61"/>
        <v/>
      </c>
      <c r="C609" s="33" t="str">
        <f t="shared" si="62"/>
        <v/>
      </c>
      <c r="D609" s="34"/>
      <c r="E609" s="33" t="str">
        <f t="shared" si="63"/>
        <v/>
      </c>
      <c r="F609" s="33" t="str">
        <f t="shared" si="64"/>
        <v/>
      </c>
      <c r="G609" s="35"/>
      <c r="H609" s="35"/>
      <c r="I609" s="33"/>
      <c r="J609" s="33" t="str">
        <f t="shared" si="65"/>
        <v/>
      </c>
      <c r="K609" s="36"/>
      <c r="L609" s="37"/>
      <c r="M609" s="37"/>
      <c r="N609" s="37"/>
      <c r="O609" s="37"/>
      <c r="P609" s="37"/>
      <c r="Q609" s="37"/>
      <c r="R609" s="37"/>
      <c r="S609" s="37"/>
      <c r="T609" s="38"/>
      <c r="U609" s="40"/>
      <c r="V609" s="40"/>
      <c r="W609" s="40"/>
      <c r="X609" s="41"/>
      <c r="Y609" s="37"/>
      <c r="Z609" s="37"/>
      <c r="AA609" s="37"/>
      <c r="AB609" s="37"/>
      <c r="AC609" s="37"/>
      <c r="AD609" s="40"/>
      <c r="AE609" s="40"/>
      <c r="AF609" s="40"/>
      <c r="AG609" s="42"/>
      <c r="AH609" s="36"/>
      <c r="AI609" s="36"/>
    </row>
    <row r="610" spans="1:35" x14ac:dyDescent="0.3">
      <c r="A610" s="32" t="str">
        <f t="shared" si="60"/>
        <v/>
      </c>
      <c r="B610" s="33" t="str">
        <f t="shared" si="61"/>
        <v/>
      </c>
      <c r="C610" s="33" t="str">
        <f t="shared" si="62"/>
        <v/>
      </c>
      <c r="D610" s="34"/>
      <c r="E610" s="33" t="str">
        <f t="shared" si="63"/>
        <v/>
      </c>
      <c r="F610" s="33" t="str">
        <f t="shared" si="64"/>
        <v/>
      </c>
      <c r="G610" s="35"/>
      <c r="H610" s="35"/>
      <c r="I610" s="33"/>
      <c r="J610" s="33" t="str">
        <f t="shared" si="65"/>
        <v/>
      </c>
      <c r="K610" s="36"/>
      <c r="L610" s="37"/>
      <c r="M610" s="37"/>
      <c r="N610" s="37"/>
      <c r="O610" s="37"/>
      <c r="P610" s="37"/>
      <c r="Q610" s="37"/>
      <c r="R610" s="37"/>
      <c r="S610" s="37"/>
      <c r="T610" s="38"/>
      <c r="U610" s="40"/>
      <c r="V610" s="40"/>
      <c r="W610" s="40"/>
      <c r="X610" s="41"/>
      <c r="Y610" s="37"/>
      <c r="Z610" s="37"/>
      <c r="AA610" s="37"/>
      <c r="AB610" s="37"/>
      <c r="AC610" s="37"/>
      <c r="AD610" s="40"/>
      <c r="AE610" s="40"/>
      <c r="AF610" s="40"/>
      <c r="AG610" s="42"/>
      <c r="AH610" s="36"/>
      <c r="AI610" s="36"/>
    </row>
    <row r="611" spans="1:35" x14ac:dyDescent="0.3">
      <c r="A611" s="32" t="str">
        <f t="shared" si="60"/>
        <v/>
      </c>
      <c r="B611" s="33" t="str">
        <f t="shared" si="61"/>
        <v/>
      </c>
      <c r="C611" s="33" t="str">
        <f t="shared" si="62"/>
        <v/>
      </c>
      <c r="D611" s="34"/>
      <c r="E611" s="33" t="str">
        <f t="shared" si="63"/>
        <v/>
      </c>
      <c r="F611" s="33" t="str">
        <f t="shared" si="64"/>
        <v/>
      </c>
      <c r="G611" s="35"/>
      <c r="H611" s="35"/>
      <c r="I611" s="33"/>
      <c r="J611" s="33" t="str">
        <f t="shared" si="65"/>
        <v/>
      </c>
      <c r="K611" s="36"/>
      <c r="L611" s="37"/>
      <c r="M611" s="37"/>
      <c r="N611" s="37"/>
      <c r="O611" s="37"/>
      <c r="P611" s="37"/>
      <c r="Q611" s="37"/>
      <c r="R611" s="37"/>
      <c r="S611" s="37"/>
      <c r="T611" s="38"/>
      <c r="U611" s="40"/>
      <c r="V611" s="40"/>
      <c r="W611" s="40"/>
      <c r="X611" s="41"/>
      <c r="Y611" s="37"/>
      <c r="Z611" s="37"/>
      <c r="AA611" s="37"/>
      <c r="AB611" s="37"/>
      <c r="AC611" s="37"/>
      <c r="AD611" s="40"/>
      <c r="AE611" s="40"/>
      <c r="AF611" s="40"/>
      <c r="AG611" s="42"/>
      <c r="AH611" s="36"/>
      <c r="AI611" s="36"/>
    </row>
    <row r="612" spans="1:35" x14ac:dyDescent="0.3">
      <c r="A612" s="32" t="str">
        <f t="shared" si="60"/>
        <v/>
      </c>
      <c r="B612" s="33" t="str">
        <f t="shared" si="61"/>
        <v/>
      </c>
      <c r="C612" s="33" t="str">
        <f t="shared" si="62"/>
        <v/>
      </c>
      <c r="D612" s="34"/>
      <c r="E612" s="33" t="str">
        <f t="shared" si="63"/>
        <v/>
      </c>
      <c r="F612" s="33" t="str">
        <f t="shared" si="64"/>
        <v/>
      </c>
      <c r="G612" s="35"/>
      <c r="H612" s="35"/>
      <c r="I612" s="33"/>
      <c r="J612" s="33" t="str">
        <f t="shared" si="65"/>
        <v/>
      </c>
      <c r="K612" s="36"/>
      <c r="L612" s="37"/>
      <c r="M612" s="37"/>
      <c r="N612" s="37"/>
      <c r="O612" s="37"/>
      <c r="P612" s="37"/>
      <c r="Q612" s="37"/>
      <c r="R612" s="37"/>
      <c r="S612" s="37"/>
      <c r="T612" s="38"/>
      <c r="U612" s="40"/>
      <c r="V612" s="40"/>
      <c r="W612" s="40"/>
      <c r="X612" s="41"/>
      <c r="Y612" s="37"/>
      <c r="Z612" s="37"/>
      <c r="AA612" s="37"/>
      <c r="AB612" s="37"/>
      <c r="AC612" s="37"/>
      <c r="AD612" s="40"/>
      <c r="AE612" s="40"/>
      <c r="AF612" s="40"/>
      <c r="AG612" s="42"/>
      <c r="AH612" s="36"/>
      <c r="AI612" s="36"/>
    </row>
    <row r="613" spans="1:35" x14ac:dyDescent="0.3">
      <c r="A613" s="32" t="str">
        <f t="shared" si="60"/>
        <v/>
      </c>
      <c r="B613" s="33" t="str">
        <f t="shared" si="61"/>
        <v/>
      </c>
      <c r="C613" s="33" t="str">
        <f t="shared" si="62"/>
        <v/>
      </c>
      <c r="D613" s="34"/>
      <c r="E613" s="33" t="str">
        <f t="shared" si="63"/>
        <v/>
      </c>
      <c r="F613" s="33" t="str">
        <f t="shared" si="64"/>
        <v/>
      </c>
      <c r="G613" s="35"/>
      <c r="H613" s="35"/>
      <c r="I613" s="33"/>
      <c r="J613" s="33" t="str">
        <f t="shared" si="65"/>
        <v/>
      </c>
      <c r="K613" s="36"/>
      <c r="L613" s="37"/>
      <c r="M613" s="37"/>
      <c r="N613" s="37"/>
      <c r="O613" s="37"/>
      <c r="P613" s="37"/>
      <c r="Q613" s="37"/>
      <c r="R613" s="37"/>
      <c r="S613" s="37"/>
      <c r="T613" s="38"/>
      <c r="U613" s="40"/>
      <c r="V613" s="40"/>
      <c r="W613" s="40"/>
      <c r="X613" s="41"/>
      <c r="Y613" s="37"/>
      <c r="Z613" s="37"/>
      <c r="AA613" s="37"/>
      <c r="AB613" s="37"/>
      <c r="AC613" s="37"/>
      <c r="AD613" s="40"/>
      <c r="AE613" s="40"/>
      <c r="AF613" s="40"/>
      <c r="AG613" s="42"/>
      <c r="AH613" s="36"/>
      <c r="AI613" s="36"/>
    </row>
    <row r="614" spans="1:35" x14ac:dyDescent="0.3">
      <c r="A614" s="32" t="str">
        <f t="shared" si="60"/>
        <v/>
      </c>
      <c r="B614" s="33" t="str">
        <f t="shared" si="61"/>
        <v/>
      </c>
      <c r="C614" s="33" t="str">
        <f t="shared" si="62"/>
        <v/>
      </c>
      <c r="D614" s="34"/>
      <c r="E614" s="33" t="str">
        <f t="shared" si="63"/>
        <v/>
      </c>
      <c r="F614" s="33" t="str">
        <f t="shared" si="64"/>
        <v/>
      </c>
      <c r="G614" s="35"/>
      <c r="H614" s="35"/>
      <c r="I614" s="33"/>
      <c r="J614" s="33" t="str">
        <f t="shared" si="65"/>
        <v/>
      </c>
      <c r="K614" s="36"/>
      <c r="L614" s="37"/>
      <c r="M614" s="37"/>
      <c r="N614" s="37"/>
      <c r="O614" s="37"/>
      <c r="P614" s="37"/>
      <c r="Q614" s="37"/>
      <c r="R614" s="37"/>
      <c r="S614" s="37"/>
      <c r="T614" s="38"/>
      <c r="U614" s="40"/>
      <c r="V614" s="40"/>
      <c r="W614" s="40"/>
      <c r="X614" s="41"/>
      <c r="Y614" s="37"/>
      <c r="Z614" s="37"/>
      <c r="AA614" s="37"/>
      <c r="AB614" s="37"/>
      <c r="AC614" s="37"/>
      <c r="AD614" s="40"/>
      <c r="AE614" s="40"/>
      <c r="AF614" s="40"/>
      <c r="AG614" s="42"/>
      <c r="AH614" s="36"/>
      <c r="AI614" s="36"/>
    </row>
    <row r="615" spans="1:35" x14ac:dyDescent="0.3">
      <c r="A615" s="32" t="str">
        <f t="shared" si="60"/>
        <v/>
      </c>
      <c r="B615" s="33" t="str">
        <f t="shared" si="61"/>
        <v/>
      </c>
      <c r="C615" s="33" t="str">
        <f t="shared" si="62"/>
        <v/>
      </c>
      <c r="D615" s="34"/>
      <c r="E615" s="33" t="str">
        <f t="shared" si="63"/>
        <v/>
      </c>
      <c r="F615" s="33" t="str">
        <f t="shared" si="64"/>
        <v/>
      </c>
      <c r="G615" s="35"/>
      <c r="H615" s="35"/>
      <c r="I615" s="33"/>
      <c r="J615" s="33" t="str">
        <f t="shared" si="65"/>
        <v/>
      </c>
      <c r="K615" s="36"/>
      <c r="L615" s="37"/>
      <c r="M615" s="37"/>
      <c r="N615" s="37"/>
      <c r="O615" s="37"/>
      <c r="P615" s="37"/>
      <c r="Q615" s="37"/>
      <c r="R615" s="37"/>
      <c r="S615" s="37"/>
      <c r="T615" s="38"/>
      <c r="U615" s="40"/>
      <c r="V615" s="40"/>
      <c r="W615" s="40"/>
      <c r="X615" s="41"/>
      <c r="Y615" s="37"/>
      <c r="Z615" s="37"/>
      <c r="AA615" s="37"/>
      <c r="AB615" s="37"/>
      <c r="AC615" s="37"/>
      <c r="AD615" s="40"/>
      <c r="AE615" s="40"/>
      <c r="AF615" s="40"/>
      <c r="AG615" s="42"/>
      <c r="AH615" s="36"/>
      <c r="AI615" s="36"/>
    </row>
    <row r="616" spans="1:35" x14ac:dyDescent="0.3">
      <c r="A616" s="32" t="str">
        <f t="shared" si="60"/>
        <v/>
      </c>
      <c r="B616" s="33" t="str">
        <f t="shared" si="61"/>
        <v/>
      </c>
      <c r="C616" s="33" t="str">
        <f t="shared" si="62"/>
        <v/>
      </c>
      <c r="D616" s="34"/>
      <c r="E616" s="33" t="str">
        <f t="shared" si="63"/>
        <v/>
      </c>
      <c r="F616" s="33" t="str">
        <f t="shared" si="64"/>
        <v/>
      </c>
      <c r="G616" s="35"/>
      <c r="H616" s="35"/>
      <c r="I616" s="33"/>
      <c r="J616" s="33" t="str">
        <f t="shared" si="65"/>
        <v/>
      </c>
      <c r="K616" s="36"/>
      <c r="L616" s="37"/>
      <c r="M616" s="37"/>
      <c r="N616" s="37"/>
      <c r="O616" s="37"/>
      <c r="P616" s="37"/>
      <c r="Q616" s="37"/>
      <c r="R616" s="37"/>
      <c r="S616" s="37"/>
      <c r="T616" s="38"/>
      <c r="U616" s="40"/>
      <c r="V616" s="40"/>
      <c r="W616" s="40"/>
      <c r="X616" s="41"/>
      <c r="Y616" s="37"/>
      <c r="Z616" s="37"/>
      <c r="AA616" s="37"/>
      <c r="AB616" s="37"/>
      <c r="AC616" s="37"/>
      <c r="AD616" s="40"/>
      <c r="AE616" s="40"/>
      <c r="AF616" s="40"/>
      <c r="AG616" s="42"/>
      <c r="AH616" s="36"/>
      <c r="AI616" s="36"/>
    </row>
    <row r="617" spans="1:35" x14ac:dyDescent="0.3">
      <c r="A617" s="32" t="str">
        <f t="shared" si="60"/>
        <v/>
      </c>
      <c r="B617" s="33" t="str">
        <f t="shared" si="61"/>
        <v/>
      </c>
      <c r="C617" s="33" t="str">
        <f t="shared" si="62"/>
        <v/>
      </c>
      <c r="D617" s="34"/>
      <c r="E617" s="33" t="str">
        <f t="shared" si="63"/>
        <v/>
      </c>
      <c r="F617" s="33" t="str">
        <f t="shared" si="64"/>
        <v/>
      </c>
      <c r="G617" s="35"/>
      <c r="H617" s="35"/>
      <c r="I617" s="33"/>
      <c r="J617" s="33" t="str">
        <f t="shared" si="65"/>
        <v/>
      </c>
      <c r="K617" s="36"/>
      <c r="L617" s="37"/>
      <c r="M617" s="37"/>
      <c r="N617" s="37"/>
      <c r="O617" s="37"/>
      <c r="P617" s="37"/>
      <c r="Q617" s="37"/>
      <c r="R617" s="37"/>
      <c r="S617" s="37"/>
      <c r="T617" s="38"/>
      <c r="U617" s="40"/>
      <c r="V617" s="40"/>
      <c r="W617" s="40"/>
      <c r="X617" s="41"/>
      <c r="Y617" s="37"/>
      <c r="Z617" s="37"/>
      <c r="AA617" s="37"/>
      <c r="AB617" s="37"/>
      <c r="AC617" s="37"/>
      <c r="AD617" s="40"/>
      <c r="AE617" s="40"/>
      <c r="AF617" s="40"/>
      <c r="AG617" s="42"/>
      <c r="AH617" s="36"/>
      <c r="AI617" s="36"/>
    </row>
    <row r="618" spans="1:35" x14ac:dyDescent="0.3">
      <c r="A618" s="32" t="str">
        <f t="shared" si="60"/>
        <v/>
      </c>
      <c r="B618" s="33" t="str">
        <f t="shared" si="61"/>
        <v/>
      </c>
      <c r="C618" s="33" t="str">
        <f t="shared" si="62"/>
        <v/>
      </c>
      <c r="D618" s="34"/>
      <c r="E618" s="33" t="str">
        <f t="shared" si="63"/>
        <v/>
      </c>
      <c r="F618" s="33" t="str">
        <f t="shared" si="64"/>
        <v/>
      </c>
      <c r="G618" s="35"/>
      <c r="H618" s="35"/>
      <c r="I618" s="33"/>
      <c r="J618" s="33" t="str">
        <f t="shared" si="65"/>
        <v/>
      </c>
      <c r="K618" s="36"/>
      <c r="L618" s="37"/>
      <c r="M618" s="37"/>
      <c r="N618" s="37"/>
      <c r="O618" s="37"/>
      <c r="P618" s="37"/>
      <c r="Q618" s="37"/>
      <c r="R618" s="37"/>
      <c r="S618" s="37"/>
      <c r="T618" s="38"/>
      <c r="U618" s="40"/>
      <c r="V618" s="40"/>
      <c r="W618" s="40"/>
      <c r="X618" s="41"/>
      <c r="Y618" s="37"/>
      <c r="Z618" s="37"/>
      <c r="AA618" s="37"/>
      <c r="AB618" s="37"/>
      <c r="AC618" s="37"/>
      <c r="AD618" s="40"/>
      <c r="AE618" s="40"/>
      <c r="AF618" s="40"/>
      <c r="AG618" s="42"/>
      <c r="AH618" s="36"/>
      <c r="AI618" s="36"/>
    </row>
    <row r="619" spans="1:35" x14ac:dyDescent="0.3">
      <c r="A619" s="32" t="str">
        <f t="shared" si="60"/>
        <v/>
      </c>
      <c r="B619" s="33" t="str">
        <f t="shared" si="61"/>
        <v/>
      </c>
      <c r="C619" s="33" t="str">
        <f t="shared" si="62"/>
        <v/>
      </c>
      <c r="D619" s="34"/>
      <c r="E619" s="33" t="str">
        <f t="shared" si="63"/>
        <v/>
      </c>
      <c r="F619" s="33" t="str">
        <f t="shared" si="64"/>
        <v/>
      </c>
      <c r="G619" s="35"/>
      <c r="H619" s="35"/>
      <c r="I619" s="33"/>
      <c r="J619" s="33" t="str">
        <f t="shared" si="65"/>
        <v/>
      </c>
      <c r="K619" s="36"/>
      <c r="L619" s="37"/>
      <c r="M619" s="37"/>
      <c r="N619" s="37"/>
      <c r="O619" s="37"/>
      <c r="P619" s="37"/>
      <c r="Q619" s="37"/>
      <c r="R619" s="37"/>
      <c r="S619" s="37"/>
      <c r="T619" s="38"/>
      <c r="U619" s="40"/>
      <c r="V619" s="40"/>
      <c r="W619" s="40"/>
      <c r="X619" s="41"/>
      <c r="Y619" s="37"/>
      <c r="Z619" s="37"/>
      <c r="AA619" s="37"/>
      <c r="AB619" s="37"/>
      <c r="AC619" s="37"/>
      <c r="AD619" s="40"/>
      <c r="AE619" s="40"/>
      <c r="AF619" s="40"/>
      <c r="AG619" s="42"/>
      <c r="AH619" s="36"/>
      <c r="AI619" s="36"/>
    </row>
    <row r="620" spans="1:35" x14ac:dyDescent="0.3">
      <c r="A620" s="32" t="str">
        <f t="shared" si="60"/>
        <v/>
      </c>
      <c r="B620" s="33" t="str">
        <f t="shared" si="61"/>
        <v/>
      </c>
      <c r="C620" s="33" t="str">
        <f t="shared" si="62"/>
        <v/>
      </c>
      <c r="D620" s="34"/>
      <c r="E620" s="33" t="str">
        <f t="shared" si="63"/>
        <v/>
      </c>
      <c r="F620" s="33" t="str">
        <f t="shared" si="64"/>
        <v/>
      </c>
      <c r="G620" s="35"/>
      <c r="H620" s="35"/>
      <c r="I620" s="33"/>
      <c r="J620" s="33" t="str">
        <f t="shared" si="65"/>
        <v/>
      </c>
      <c r="K620" s="36"/>
      <c r="L620" s="37"/>
      <c r="M620" s="37"/>
      <c r="N620" s="37"/>
      <c r="O620" s="37"/>
      <c r="P620" s="37"/>
      <c r="Q620" s="37"/>
      <c r="R620" s="37"/>
      <c r="S620" s="37"/>
      <c r="T620" s="38"/>
      <c r="U620" s="40"/>
      <c r="V620" s="40"/>
      <c r="W620" s="40"/>
      <c r="X620" s="41"/>
      <c r="Y620" s="37"/>
      <c r="Z620" s="37"/>
      <c r="AA620" s="37"/>
      <c r="AB620" s="37"/>
      <c r="AC620" s="37"/>
      <c r="AD620" s="40"/>
      <c r="AE620" s="40"/>
      <c r="AF620" s="40"/>
      <c r="AG620" s="42"/>
      <c r="AH620" s="36"/>
      <c r="AI620" s="36"/>
    </row>
    <row r="621" spans="1:35" x14ac:dyDescent="0.3">
      <c r="A621" s="32" t="str">
        <f t="shared" si="60"/>
        <v/>
      </c>
      <c r="B621" s="33" t="str">
        <f t="shared" si="61"/>
        <v/>
      </c>
      <c r="C621" s="33" t="str">
        <f t="shared" si="62"/>
        <v/>
      </c>
      <c r="D621" s="34"/>
      <c r="E621" s="33" t="str">
        <f t="shared" si="63"/>
        <v/>
      </c>
      <c r="F621" s="33" t="str">
        <f t="shared" si="64"/>
        <v/>
      </c>
      <c r="G621" s="35"/>
      <c r="H621" s="35"/>
      <c r="I621" s="33"/>
      <c r="J621" s="33" t="str">
        <f t="shared" si="65"/>
        <v/>
      </c>
      <c r="K621" s="36"/>
      <c r="L621" s="37"/>
      <c r="M621" s="37"/>
      <c r="N621" s="37"/>
      <c r="O621" s="37"/>
      <c r="P621" s="37"/>
      <c r="Q621" s="37"/>
      <c r="R621" s="37"/>
      <c r="S621" s="37"/>
      <c r="T621" s="38"/>
      <c r="U621" s="40"/>
      <c r="V621" s="40"/>
      <c r="W621" s="40"/>
      <c r="X621" s="41"/>
      <c r="Y621" s="37"/>
      <c r="Z621" s="37"/>
      <c r="AA621" s="37"/>
      <c r="AB621" s="37"/>
      <c r="AC621" s="37"/>
      <c r="AD621" s="40"/>
      <c r="AE621" s="40"/>
      <c r="AF621" s="40"/>
      <c r="AG621" s="42"/>
      <c r="AH621" s="36"/>
      <c r="AI621" s="36"/>
    </row>
    <row r="622" spans="1:35" x14ac:dyDescent="0.3">
      <c r="A622" s="32" t="str">
        <f t="shared" si="60"/>
        <v/>
      </c>
      <c r="B622" s="33" t="str">
        <f t="shared" si="61"/>
        <v/>
      </c>
      <c r="C622" s="33" t="str">
        <f t="shared" si="62"/>
        <v/>
      </c>
      <c r="D622" s="34"/>
      <c r="E622" s="33" t="str">
        <f t="shared" si="63"/>
        <v/>
      </c>
      <c r="F622" s="33" t="str">
        <f t="shared" si="64"/>
        <v/>
      </c>
      <c r="G622" s="35"/>
      <c r="H622" s="35"/>
      <c r="I622" s="33"/>
      <c r="J622" s="33" t="str">
        <f t="shared" si="65"/>
        <v/>
      </c>
      <c r="K622" s="36"/>
      <c r="L622" s="37"/>
      <c r="M622" s="37"/>
      <c r="N622" s="37"/>
      <c r="O622" s="37"/>
      <c r="P622" s="37"/>
      <c r="Q622" s="37"/>
      <c r="R622" s="37"/>
      <c r="S622" s="37"/>
      <c r="T622" s="38"/>
      <c r="U622" s="40"/>
      <c r="V622" s="40"/>
      <c r="W622" s="40"/>
      <c r="X622" s="41"/>
      <c r="Y622" s="37"/>
      <c r="Z622" s="37"/>
      <c r="AA622" s="37"/>
      <c r="AB622" s="37"/>
      <c r="AC622" s="37"/>
      <c r="AD622" s="40"/>
      <c r="AE622" s="40"/>
      <c r="AF622" s="40"/>
      <c r="AG622" s="42"/>
      <c r="AH622" s="36"/>
      <c r="AI622" s="36"/>
    </row>
    <row r="623" spans="1:35" x14ac:dyDescent="0.3">
      <c r="A623" s="32" t="str">
        <f t="shared" si="60"/>
        <v/>
      </c>
      <c r="B623" s="33" t="str">
        <f t="shared" si="61"/>
        <v/>
      </c>
      <c r="C623" s="33" t="str">
        <f t="shared" si="62"/>
        <v/>
      </c>
      <c r="D623" s="34"/>
      <c r="E623" s="33" t="str">
        <f t="shared" si="63"/>
        <v/>
      </c>
      <c r="F623" s="33" t="str">
        <f t="shared" si="64"/>
        <v/>
      </c>
      <c r="G623" s="35"/>
      <c r="H623" s="35"/>
      <c r="I623" s="33"/>
      <c r="J623" s="33" t="str">
        <f t="shared" si="65"/>
        <v/>
      </c>
      <c r="K623" s="36"/>
      <c r="L623" s="37"/>
      <c r="M623" s="37"/>
      <c r="N623" s="37"/>
      <c r="O623" s="37"/>
      <c r="P623" s="37"/>
      <c r="Q623" s="37"/>
      <c r="R623" s="37"/>
      <c r="S623" s="37"/>
      <c r="T623" s="38"/>
      <c r="U623" s="40"/>
      <c r="V623" s="40"/>
      <c r="W623" s="40"/>
      <c r="X623" s="41"/>
      <c r="Y623" s="37"/>
      <c r="Z623" s="37"/>
      <c r="AA623" s="37"/>
      <c r="AB623" s="37"/>
      <c r="AC623" s="37"/>
      <c r="AD623" s="40"/>
      <c r="AE623" s="40"/>
      <c r="AF623" s="40"/>
      <c r="AG623" s="42"/>
      <c r="AH623" s="36"/>
      <c r="AI623" s="36"/>
    </row>
    <row r="624" spans="1:35" x14ac:dyDescent="0.3">
      <c r="A624" s="32" t="str">
        <f t="shared" si="60"/>
        <v/>
      </c>
      <c r="B624" s="33" t="str">
        <f t="shared" si="61"/>
        <v/>
      </c>
      <c r="C624" s="33" t="str">
        <f t="shared" si="62"/>
        <v/>
      </c>
      <c r="D624" s="34"/>
      <c r="E624" s="33" t="str">
        <f t="shared" si="63"/>
        <v/>
      </c>
      <c r="F624" s="33" t="str">
        <f t="shared" si="64"/>
        <v/>
      </c>
      <c r="G624" s="35"/>
      <c r="H624" s="35"/>
      <c r="I624" s="33"/>
      <c r="J624" s="33" t="str">
        <f t="shared" si="65"/>
        <v/>
      </c>
      <c r="K624" s="36"/>
      <c r="L624" s="37"/>
      <c r="M624" s="37"/>
      <c r="N624" s="37"/>
      <c r="O624" s="37"/>
      <c r="P624" s="37"/>
      <c r="Q624" s="37"/>
      <c r="R624" s="37"/>
      <c r="S624" s="37"/>
      <c r="T624" s="38"/>
      <c r="U624" s="40"/>
      <c r="V624" s="40"/>
      <c r="W624" s="40"/>
      <c r="X624" s="41"/>
      <c r="Y624" s="37"/>
      <c r="Z624" s="37"/>
      <c r="AA624" s="37"/>
      <c r="AB624" s="37"/>
      <c r="AC624" s="37"/>
      <c r="AD624" s="40"/>
      <c r="AE624" s="40"/>
      <c r="AF624" s="40"/>
      <c r="AG624" s="42"/>
      <c r="AH624" s="36"/>
      <c r="AI624" s="36"/>
    </row>
    <row r="625" spans="1:35" x14ac:dyDescent="0.3">
      <c r="A625" s="32" t="str">
        <f t="shared" si="60"/>
        <v/>
      </c>
      <c r="B625" s="33" t="str">
        <f t="shared" si="61"/>
        <v/>
      </c>
      <c r="C625" s="33" t="str">
        <f t="shared" si="62"/>
        <v/>
      </c>
      <c r="D625" s="34"/>
      <c r="E625" s="33" t="str">
        <f t="shared" si="63"/>
        <v/>
      </c>
      <c r="F625" s="33" t="str">
        <f t="shared" si="64"/>
        <v/>
      </c>
      <c r="G625" s="35"/>
      <c r="H625" s="35"/>
      <c r="I625" s="33"/>
      <c r="J625" s="33" t="str">
        <f t="shared" si="65"/>
        <v/>
      </c>
      <c r="K625" s="36"/>
      <c r="L625" s="37"/>
      <c r="M625" s="37"/>
      <c r="N625" s="37"/>
      <c r="O625" s="37"/>
      <c r="P625" s="37"/>
      <c r="Q625" s="37"/>
      <c r="R625" s="37"/>
      <c r="S625" s="37"/>
      <c r="T625" s="38"/>
      <c r="U625" s="40"/>
      <c r="V625" s="40"/>
      <c r="W625" s="40"/>
      <c r="X625" s="41"/>
      <c r="Y625" s="37"/>
      <c r="Z625" s="37"/>
      <c r="AA625" s="37"/>
      <c r="AB625" s="37"/>
      <c r="AC625" s="37"/>
      <c r="AD625" s="40"/>
      <c r="AE625" s="40"/>
      <c r="AF625" s="40"/>
      <c r="AG625" s="42"/>
      <c r="AH625" s="36"/>
      <c r="AI625" s="36"/>
    </row>
    <row r="626" spans="1:35" x14ac:dyDescent="0.3">
      <c r="A626" s="32" t="str">
        <f t="shared" si="60"/>
        <v/>
      </c>
      <c r="B626" s="33" t="str">
        <f t="shared" si="61"/>
        <v/>
      </c>
      <c r="C626" s="33" t="str">
        <f t="shared" si="62"/>
        <v/>
      </c>
      <c r="D626" s="34"/>
      <c r="E626" s="33" t="str">
        <f t="shared" si="63"/>
        <v/>
      </c>
      <c r="F626" s="33" t="str">
        <f t="shared" si="64"/>
        <v/>
      </c>
      <c r="G626" s="35"/>
      <c r="H626" s="35"/>
      <c r="I626" s="33"/>
      <c r="J626" s="33" t="str">
        <f t="shared" si="65"/>
        <v/>
      </c>
      <c r="K626" s="36"/>
      <c r="L626" s="37"/>
      <c r="M626" s="37"/>
      <c r="N626" s="37"/>
      <c r="O626" s="37"/>
      <c r="P626" s="37"/>
      <c r="Q626" s="37"/>
      <c r="R626" s="37"/>
      <c r="S626" s="37"/>
      <c r="T626" s="38"/>
      <c r="U626" s="40"/>
      <c r="V626" s="40"/>
      <c r="W626" s="40"/>
      <c r="X626" s="41"/>
      <c r="Y626" s="37"/>
      <c r="Z626" s="37"/>
      <c r="AA626" s="37"/>
      <c r="AB626" s="37"/>
      <c r="AC626" s="37"/>
      <c r="AD626" s="40"/>
      <c r="AE626" s="40"/>
      <c r="AF626" s="40"/>
      <c r="AG626" s="42"/>
      <c r="AH626" s="36"/>
      <c r="AI626" s="36"/>
    </row>
    <row r="627" spans="1:35" x14ac:dyDescent="0.3">
      <c r="A627" s="32" t="str">
        <f t="shared" si="60"/>
        <v/>
      </c>
      <c r="B627" s="33" t="str">
        <f t="shared" si="61"/>
        <v/>
      </c>
      <c r="C627" s="33" t="str">
        <f t="shared" si="62"/>
        <v/>
      </c>
      <c r="D627" s="34"/>
      <c r="E627" s="33" t="str">
        <f t="shared" si="63"/>
        <v/>
      </c>
      <c r="F627" s="33" t="str">
        <f t="shared" si="64"/>
        <v/>
      </c>
      <c r="G627" s="35"/>
      <c r="H627" s="35"/>
      <c r="I627" s="33"/>
      <c r="J627" s="33" t="str">
        <f t="shared" si="65"/>
        <v/>
      </c>
      <c r="K627" s="36"/>
      <c r="L627" s="37"/>
      <c r="M627" s="37"/>
      <c r="N627" s="37"/>
      <c r="O627" s="37"/>
      <c r="P627" s="37"/>
      <c r="Q627" s="37"/>
      <c r="R627" s="37"/>
      <c r="S627" s="37"/>
      <c r="T627" s="38"/>
      <c r="U627" s="40"/>
      <c r="V627" s="40"/>
      <c r="W627" s="40"/>
      <c r="X627" s="41"/>
      <c r="Y627" s="37"/>
      <c r="Z627" s="37"/>
      <c r="AA627" s="37"/>
      <c r="AB627" s="37"/>
      <c r="AC627" s="37"/>
      <c r="AD627" s="40"/>
      <c r="AE627" s="40"/>
      <c r="AF627" s="40"/>
      <c r="AG627" s="42"/>
      <c r="AH627" s="36"/>
      <c r="AI627" s="36"/>
    </row>
    <row r="628" spans="1:35" x14ac:dyDescent="0.3">
      <c r="A628" s="32" t="str">
        <f t="shared" si="60"/>
        <v/>
      </c>
      <c r="B628" s="33" t="str">
        <f t="shared" si="61"/>
        <v/>
      </c>
      <c r="C628" s="33" t="str">
        <f t="shared" si="62"/>
        <v/>
      </c>
      <c r="D628" s="34"/>
      <c r="E628" s="33" t="str">
        <f t="shared" si="63"/>
        <v/>
      </c>
      <c r="F628" s="33" t="str">
        <f t="shared" si="64"/>
        <v/>
      </c>
      <c r="G628" s="35"/>
      <c r="H628" s="35"/>
      <c r="I628" s="33"/>
      <c r="J628" s="33" t="str">
        <f t="shared" si="65"/>
        <v/>
      </c>
      <c r="K628" s="36"/>
      <c r="L628" s="37"/>
      <c r="M628" s="37"/>
      <c r="N628" s="37"/>
      <c r="O628" s="37"/>
      <c r="P628" s="37"/>
      <c r="Q628" s="37"/>
      <c r="R628" s="37"/>
      <c r="S628" s="37"/>
      <c r="T628" s="38"/>
      <c r="U628" s="40"/>
      <c r="V628" s="40"/>
      <c r="W628" s="40"/>
      <c r="X628" s="41"/>
      <c r="Y628" s="37"/>
      <c r="Z628" s="37"/>
      <c r="AA628" s="37"/>
      <c r="AB628" s="37"/>
      <c r="AC628" s="37"/>
      <c r="AD628" s="40"/>
      <c r="AE628" s="40"/>
      <c r="AF628" s="40"/>
      <c r="AG628" s="42"/>
      <c r="AH628" s="36"/>
      <c r="AI628" s="36"/>
    </row>
    <row r="629" spans="1:35" x14ac:dyDescent="0.3">
      <c r="A629" s="32" t="str">
        <f t="shared" si="60"/>
        <v/>
      </c>
      <c r="B629" s="33" t="str">
        <f t="shared" si="61"/>
        <v/>
      </c>
      <c r="C629" s="33" t="str">
        <f t="shared" si="62"/>
        <v/>
      </c>
      <c r="D629" s="34"/>
      <c r="E629" s="33" t="str">
        <f t="shared" si="63"/>
        <v/>
      </c>
      <c r="F629" s="33" t="str">
        <f t="shared" si="64"/>
        <v/>
      </c>
      <c r="G629" s="35"/>
      <c r="H629" s="35"/>
      <c r="I629" s="33"/>
      <c r="J629" s="33" t="str">
        <f t="shared" si="65"/>
        <v/>
      </c>
      <c r="K629" s="36"/>
      <c r="L629" s="37"/>
      <c r="M629" s="37"/>
      <c r="N629" s="37"/>
      <c r="O629" s="37"/>
      <c r="P629" s="37"/>
      <c r="Q629" s="37"/>
      <c r="R629" s="37"/>
      <c r="S629" s="37"/>
      <c r="T629" s="38"/>
      <c r="U629" s="40"/>
      <c r="V629" s="40"/>
      <c r="W629" s="40"/>
      <c r="X629" s="41"/>
      <c r="Y629" s="37"/>
      <c r="Z629" s="37"/>
      <c r="AA629" s="37"/>
      <c r="AB629" s="37"/>
      <c r="AC629" s="37"/>
      <c r="AD629" s="40"/>
      <c r="AE629" s="40"/>
      <c r="AF629" s="40"/>
      <c r="AG629" s="42"/>
      <c r="AH629" s="36"/>
      <c r="AI629" s="36"/>
    </row>
    <row r="630" spans="1:35" x14ac:dyDescent="0.3">
      <c r="A630" s="32" t="str">
        <f t="shared" si="60"/>
        <v/>
      </c>
      <c r="B630" s="33" t="str">
        <f t="shared" si="61"/>
        <v/>
      </c>
      <c r="C630" s="33" t="str">
        <f t="shared" si="62"/>
        <v/>
      </c>
      <c r="D630" s="34"/>
      <c r="E630" s="33" t="str">
        <f t="shared" si="63"/>
        <v/>
      </c>
      <c r="F630" s="33" t="str">
        <f t="shared" si="64"/>
        <v/>
      </c>
      <c r="G630" s="35"/>
      <c r="H630" s="35"/>
      <c r="I630" s="33"/>
      <c r="J630" s="33" t="str">
        <f t="shared" si="65"/>
        <v/>
      </c>
      <c r="K630" s="36"/>
      <c r="L630" s="37"/>
      <c r="M630" s="37"/>
      <c r="N630" s="37"/>
      <c r="O630" s="37"/>
      <c r="P630" s="37"/>
      <c r="Q630" s="37"/>
      <c r="R630" s="37"/>
      <c r="S630" s="37"/>
      <c r="T630" s="38"/>
      <c r="U630" s="40"/>
      <c r="V630" s="40"/>
      <c r="W630" s="40"/>
      <c r="X630" s="41"/>
      <c r="Y630" s="37"/>
      <c r="Z630" s="37"/>
      <c r="AA630" s="37"/>
      <c r="AB630" s="37"/>
      <c r="AC630" s="37"/>
      <c r="AD630" s="40"/>
      <c r="AE630" s="40"/>
      <c r="AF630" s="40"/>
      <c r="AG630" s="42"/>
      <c r="AH630" s="36"/>
      <c r="AI630" s="36"/>
    </row>
    <row r="631" spans="1:35" x14ac:dyDescent="0.3">
      <c r="A631" s="32" t="str">
        <f t="shared" si="60"/>
        <v/>
      </c>
      <c r="B631" s="33" t="str">
        <f t="shared" si="61"/>
        <v/>
      </c>
      <c r="C631" s="33" t="str">
        <f t="shared" si="62"/>
        <v/>
      </c>
      <c r="D631" s="34"/>
      <c r="E631" s="33" t="str">
        <f t="shared" si="63"/>
        <v/>
      </c>
      <c r="F631" s="33" t="str">
        <f t="shared" si="64"/>
        <v/>
      </c>
      <c r="G631" s="35"/>
      <c r="H631" s="35"/>
      <c r="I631" s="33"/>
      <c r="J631" s="33" t="str">
        <f t="shared" si="65"/>
        <v/>
      </c>
      <c r="K631" s="36"/>
      <c r="L631" s="37"/>
      <c r="M631" s="37"/>
      <c r="N631" s="37"/>
      <c r="O631" s="37"/>
      <c r="P631" s="37"/>
      <c r="Q631" s="37"/>
      <c r="R631" s="37"/>
      <c r="S631" s="37"/>
      <c r="T631" s="38"/>
      <c r="U631" s="40"/>
      <c r="V631" s="40"/>
      <c r="W631" s="40"/>
      <c r="X631" s="41"/>
      <c r="Y631" s="37"/>
      <c r="Z631" s="37"/>
      <c r="AA631" s="37"/>
      <c r="AB631" s="37"/>
      <c r="AC631" s="37"/>
      <c r="AD631" s="40"/>
      <c r="AE631" s="40"/>
      <c r="AF631" s="40"/>
      <c r="AG631" s="42"/>
      <c r="AH631" s="36"/>
      <c r="AI631" s="36"/>
    </row>
    <row r="632" spans="1:35" x14ac:dyDescent="0.3">
      <c r="A632" s="32" t="str">
        <f t="shared" si="60"/>
        <v/>
      </c>
      <c r="B632" s="33" t="str">
        <f t="shared" si="61"/>
        <v/>
      </c>
      <c r="C632" s="33" t="str">
        <f t="shared" si="62"/>
        <v/>
      </c>
      <c r="D632" s="34"/>
      <c r="E632" s="33" t="str">
        <f t="shared" si="63"/>
        <v/>
      </c>
      <c r="F632" s="33" t="str">
        <f t="shared" si="64"/>
        <v/>
      </c>
      <c r="G632" s="35"/>
      <c r="H632" s="35"/>
      <c r="I632" s="33"/>
      <c r="J632" s="33" t="str">
        <f t="shared" si="65"/>
        <v/>
      </c>
      <c r="K632" s="36"/>
      <c r="L632" s="37"/>
      <c r="M632" s="37"/>
      <c r="N632" s="37"/>
      <c r="O632" s="37"/>
      <c r="P632" s="37"/>
      <c r="Q632" s="37"/>
      <c r="R632" s="37"/>
      <c r="S632" s="37"/>
      <c r="T632" s="38"/>
      <c r="U632" s="40"/>
      <c r="V632" s="40"/>
      <c r="W632" s="40"/>
      <c r="X632" s="41"/>
      <c r="Y632" s="37"/>
      <c r="Z632" s="37"/>
      <c r="AA632" s="37"/>
      <c r="AB632" s="37"/>
      <c r="AC632" s="37"/>
      <c r="AD632" s="40"/>
      <c r="AE632" s="40"/>
      <c r="AF632" s="40"/>
      <c r="AG632" s="42"/>
      <c r="AH632" s="36"/>
      <c r="AI632" s="36"/>
    </row>
    <row r="633" spans="1:35" x14ac:dyDescent="0.3">
      <c r="A633" s="32" t="str">
        <f t="shared" si="60"/>
        <v/>
      </c>
      <c r="B633" s="33" t="str">
        <f t="shared" si="61"/>
        <v/>
      </c>
      <c r="C633" s="33" t="str">
        <f t="shared" si="62"/>
        <v/>
      </c>
      <c r="D633" s="34"/>
      <c r="E633" s="33" t="str">
        <f t="shared" si="63"/>
        <v/>
      </c>
      <c r="F633" s="33" t="str">
        <f t="shared" si="64"/>
        <v/>
      </c>
      <c r="G633" s="35"/>
      <c r="H633" s="35"/>
      <c r="I633" s="33"/>
      <c r="J633" s="33" t="str">
        <f t="shared" si="65"/>
        <v/>
      </c>
      <c r="K633" s="36"/>
      <c r="L633" s="37"/>
      <c r="M633" s="37"/>
      <c r="N633" s="37"/>
      <c r="O633" s="37"/>
      <c r="P633" s="37"/>
      <c r="Q633" s="37"/>
      <c r="R633" s="37"/>
      <c r="S633" s="37"/>
      <c r="T633" s="38"/>
      <c r="U633" s="40"/>
      <c r="V633" s="40"/>
      <c r="W633" s="40"/>
      <c r="X633" s="41"/>
      <c r="Y633" s="37"/>
      <c r="Z633" s="37"/>
      <c r="AA633" s="37"/>
      <c r="AB633" s="37"/>
      <c r="AC633" s="37"/>
      <c r="AD633" s="40"/>
      <c r="AE633" s="40"/>
      <c r="AF633" s="40"/>
      <c r="AG633" s="42"/>
      <c r="AH633" s="36"/>
      <c r="AI633" s="36"/>
    </row>
    <row r="634" spans="1:35" x14ac:dyDescent="0.3">
      <c r="A634" s="32" t="str">
        <f t="shared" si="60"/>
        <v/>
      </c>
      <c r="B634" s="33" t="str">
        <f t="shared" si="61"/>
        <v/>
      </c>
      <c r="C634" s="33" t="str">
        <f t="shared" si="62"/>
        <v/>
      </c>
      <c r="D634" s="34"/>
      <c r="E634" s="33" t="str">
        <f t="shared" si="63"/>
        <v/>
      </c>
      <c r="F634" s="33" t="str">
        <f t="shared" si="64"/>
        <v/>
      </c>
      <c r="G634" s="35"/>
      <c r="H634" s="35"/>
      <c r="I634" s="33"/>
      <c r="J634" s="33" t="str">
        <f t="shared" si="65"/>
        <v/>
      </c>
      <c r="K634" s="36"/>
      <c r="L634" s="37"/>
      <c r="M634" s="37"/>
      <c r="N634" s="37"/>
      <c r="O634" s="37"/>
      <c r="P634" s="37"/>
      <c r="Q634" s="37"/>
      <c r="R634" s="37"/>
      <c r="S634" s="37"/>
      <c r="T634" s="38"/>
      <c r="U634" s="40"/>
      <c r="V634" s="40"/>
      <c r="W634" s="40"/>
      <c r="X634" s="41"/>
      <c r="Y634" s="37"/>
      <c r="Z634" s="37"/>
      <c r="AA634" s="37"/>
      <c r="AB634" s="37"/>
      <c r="AC634" s="37"/>
      <c r="AD634" s="40"/>
      <c r="AE634" s="40"/>
      <c r="AF634" s="40"/>
      <c r="AG634" s="42"/>
      <c r="AH634" s="36"/>
      <c r="AI634" s="36"/>
    </row>
    <row r="635" spans="1:35" x14ac:dyDescent="0.3">
      <c r="A635" s="32" t="str">
        <f t="shared" si="60"/>
        <v/>
      </c>
      <c r="B635" s="33" t="str">
        <f t="shared" si="61"/>
        <v/>
      </c>
      <c r="C635" s="33" t="str">
        <f t="shared" si="62"/>
        <v/>
      </c>
      <c r="D635" s="34"/>
      <c r="E635" s="33" t="str">
        <f t="shared" si="63"/>
        <v/>
      </c>
      <c r="F635" s="33" t="str">
        <f t="shared" si="64"/>
        <v/>
      </c>
      <c r="G635" s="35"/>
      <c r="H635" s="35"/>
      <c r="I635" s="33"/>
      <c r="J635" s="33" t="str">
        <f t="shared" si="65"/>
        <v/>
      </c>
      <c r="K635" s="36"/>
      <c r="L635" s="37"/>
      <c r="M635" s="37"/>
      <c r="N635" s="37"/>
      <c r="O635" s="37"/>
      <c r="P635" s="37"/>
      <c r="Q635" s="37"/>
      <c r="R635" s="37"/>
      <c r="S635" s="37"/>
      <c r="T635" s="38"/>
      <c r="U635" s="40"/>
      <c r="V635" s="40"/>
      <c r="W635" s="40"/>
      <c r="X635" s="41"/>
      <c r="Y635" s="37"/>
      <c r="Z635" s="37"/>
      <c r="AA635" s="37"/>
      <c r="AB635" s="37"/>
      <c r="AC635" s="37"/>
      <c r="AD635" s="40"/>
      <c r="AE635" s="40"/>
      <c r="AF635" s="40"/>
      <c r="AG635" s="42"/>
      <c r="AH635" s="36"/>
      <c r="AI635" s="36"/>
    </row>
    <row r="636" spans="1:35" x14ac:dyDescent="0.3">
      <c r="A636" s="32" t="str">
        <f t="shared" si="60"/>
        <v/>
      </c>
      <c r="B636" s="33" t="str">
        <f t="shared" si="61"/>
        <v/>
      </c>
      <c r="C636" s="33" t="str">
        <f t="shared" si="62"/>
        <v/>
      </c>
      <c r="D636" s="34"/>
      <c r="E636" s="33" t="str">
        <f t="shared" si="63"/>
        <v/>
      </c>
      <c r="F636" s="33" t="str">
        <f t="shared" si="64"/>
        <v/>
      </c>
      <c r="G636" s="35"/>
      <c r="H636" s="35"/>
      <c r="I636" s="33"/>
      <c r="J636" s="33" t="str">
        <f t="shared" si="65"/>
        <v/>
      </c>
      <c r="K636" s="36"/>
      <c r="L636" s="37"/>
      <c r="M636" s="37"/>
      <c r="N636" s="37"/>
      <c r="O636" s="37"/>
      <c r="P636" s="37"/>
      <c r="Q636" s="37"/>
      <c r="R636" s="37"/>
      <c r="S636" s="37"/>
      <c r="T636" s="38"/>
      <c r="U636" s="40"/>
      <c r="V636" s="40"/>
      <c r="W636" s="40"/>
      <c r="X636" s="41"/>
      <c r="Y636" s="37"/>
      <c r="Z636" s="37"/>
      <c r="AA636" s="37"/>
      <c r="AB636" s="37"/>
      <c r="AC636" s="37"/>
      <c r="AD636" s="40"/>
      <c r="AE636" s="40"/>
      <c r="AF636" s="40"/>
      <c r="AG636" s="42"/>
      <c r="AH636" s="36"/>
      <c r="AI636" s="36"/>
    </row>
    <row r="637" spans="1:35" x14ac:dyDescent="0.3">
      <c r="A637" s="32" t="str">
        <f t="shared" si="60"/>
        <v/>
      </c>
      <c r="B637" s="33" t="str">
        <f t="shared" si="61"/>
        <v/>
      </c>
      <c r="C637" s="33" t="str">
        <f t="shared" si="62"/>
        <v/>
      </c>
      <c r="D637" s="34"/>
      <c r="E637" s="33" t="str">
        <f t="shared" si="63"/>
        <v/>
      </c>
      <c r="F637" s="33" t="str">
        <f t="shared" si="64"/>
        <v/>
      </c>
      <c r="G637" s="35"/>
      <c r="H637" s="35"/>
      <c r="I637" s="33"/>
      <c r="J637" s="33" t="str">
        <f t="shared" si="65"/>
        <v/>
      </c>
      <c r="K637" s="36"/>
      <c r="L637" s="37"/>
      <c r="M637" s="37"/>
      <c r="N637" s="37"/>
      <c r="O637" s="37"/>
      <c r="P637" s="37"/>
      <c r="Q637" s="37"/>
      <c r="R637" s="37"/>
      <c r="S637" s="37"/>
      <c r="T637" s="38"/>
      <c r="U637" s="40"/>
      <c r="V637" s="40"/>
      <c r="W637" s="40"/>
      <c r="X637" s="41"/>
      <c r="Y637" s="37"/>
      <c r="Z637" s="37"/>
      <c r="AA637" s="37"/>
      <c r="AB637" s="37"/>
      <c r="AC637" s="37"/>
      <c r="AD637" s="40"/>
      <c r="AE637" s="40"/>
      <c r="AF637" s="40"/>
      <c r="AG637" s="42"/>
      <c r="AH637" s="36"/>
      <c r="AI637" s="36"/>
    </row>
    <row r="638" spans="1:35" x14ac:dyDescent="0.3">
      <c r="A638" s="32" t="str">
        <f t="shared" si="60"/>
        <v/>
      </c>
      <c r="B638" s="33" t="str">
        <f t="shared" si="61"/>
        <v/>
      </c>
      <c r="C638" s="33" t="str">
        <f t="shared" si="62"/>
        <v/>
      </c>
      <c r="D638" s="34"/>
      <c r="E638" s="33" t="str">
        <f t="shared" si="63"/>
        <v/>
      </c>
      <c r="F638" s="33" t="str">
        <f t="shared" si="64"/>
        <v/>
      </c>
      <c r="G638" s="35"/>
      <c r="H638" s="35"/>
      <c r="I638" s="33"/>
      <c r="J638" s="33" t="str">
        <f t="shared" si="65"/>
        <v/>
      </c>
      <c r="K638" s="36"/>
      <c r="L638" s="37"/>
      <c r="M638" s="37"/>
      <c r="N638" s="37"/>
      <c r="O638" s="37"/>
      <c r="P638" s="37"/>
      <c r="Q638" s="37"/>
      <c r="R638" s="37"/>
      <c r="S638" s="37"/>
      <c r="T638" s="38"/>
      <c r="U638" s="40"/>
      <c r="V638" s="40"/>
      <c r="W638" s="40"/>
      <c r="X638" s="41"/>
      <c r="Y638" s="37"/>
      <c r="Z638" s="37"/>
      <c r="AA638" s="37"/>
      <c r="AB638" s="37"/>
      <c r="AC638" s="37"/>
      <c r="AD638" s="40"/>
      <c r="AE638" s="40"/>
      <c r="AF638" s="40"/>
      <c r="AG638" s="42"/>
      <c r="AH638" s="36"/>
      <c r="AI638" s="36"/>
    </row>
    <row r="639" spans="1:35" x14ac:dyDescent="0.3">
      <c r="A639" s="32" t="str">
        <f t="shared" si="60"/>
        <v/>
      </c>
      <c r="B639" s="33" t="str">
        <f t="shared" si="61"/>
        <v/>
      </c>
      <c r="C639" s="33" t="str">
        <f t="shared" si="62"/>
        <v/>
      </c>
      <c r="D639" s="34"/>
      <c r="E639" s="33" t="str">
        <f t="shared" si="63"/>
        <v/>
      </c>
      <c r="F639" s="33" t="str">
        <f t="shared" si="64"/>
        <v/>
      </c>
      <c r="G639" s="35"/>
      <c r="H639" s="35"/>
      <c r="I639" s="33"/>
      <c r="J639" s="33" t="str">
        <f t="shared" si="65"/>
        <v/>
      </c>
      <c r="K639" s="36"/>
      <c r="L639" s="37"/>
      <c r="M639" s="37"/>
      <c r="N639" s="37"/>
      <c r="O639" s="37"/>
      <c r="P639" s="37"/>
      <c r="Q639" s="37"/>
      <c r="R639" s="37"/>
      <c r="S639" s="37"/>
      <c r="T639" s="38"/>
      <c r="U639" s="40"/>
      <c r="V639" s="40"/>
      <c r="W639" s="40"/>
      <c r="X639" s="41"/>
      <c r="Y639" s="37"/>
      <c r="Z639" s="37"/>
      <c r="AA639" s="37"/>
      <c r="AB639" s="37"/>
      <c r="AC639" s="37"/>
      <c r="AD639" s="40"/>
      <c r="AE639" s="40"/>
      <c r="AF639" s="40"/>
      <c r="AG639" s="42"/>
      <c r="AH639" s="36"/>
      <c r="AI639" s="36"/>
    </row>
    <row r="640" spans="1:35" x14ac:dyDescent="0.3">
      <c r="A640" s="32" t="str">
        <f t="shared" si="60"/>
        <v/>
      </c>
      <c r="B640" s="33" t="str">
        <f t="shared" si="61"/>
        <v/>
      </c>
      <c r="C640" s="33" t="str">
        <f t="shared" si="62"/>
        <v/>
      </c>
      <c r="D640" s="34"/>
      <c r="E640" s="33" t="str">
        <f t="shared" si="63"/>
        <v/>
      </c>
      <c r="F640" s="33" t="str">
        <f t="shared" si="64"/>
        <v/>
      </c>
      <c r="G640" s="35"/>
      <c r="H640" s="35"/>
      <c r="I640" s="33"/>
      <c r="J640" s="33" t="str">
        <f t="shared" si="65"/>
        <v/>
      </c>
      <c r="K640" s="36"/>
      <c r="L640" s="37"/>
      <c r="M640" s="37"/>
      <c r="N640" s="37"/>
      <c r="O640" s="37"/>
      <c r="P640" s="37"/>
      <c r="Q640" s="37"/>
      <c r="R640" s="37"/>
      <c r="S640" s="37"/>
      <c r="T640" s="38"/>
      <c r="U640" s="40"/>
      <c r="V640" s="40"/>
      <c r="W640" s="40"/>
      <c r="X640" s="41"/>
      <c r="Y640" s="37"/>
      <c r="Z640" s="37"/>
      <c r="AA640" s="37"/>
      <c r="AB640" s="37"/>
      <c r="AC640" s="37"/>
      <c r="AD640" s="40"/>
      <c r="AE640" s="40"/>
      <c r="AF640" s="40"/>
      <c r="AG640" s="42"/>
      <c r="AH640" s="36"/>
      <c r="AI640" s="36"/>
    </row>
    <row r="641" spans="1:35" x14ac:dyDescent="0.3">
      <c r="A641" s="32" t="str">
        <f t="shared" si="60"/>
        <v/>
      </c>
      <c r="B641" s="33" t="str">
        <f t="shared" si="61"/>
        <v/>
      </c>
      <c r="C641" s="33" t="str">
        <f t="shared" si="62"/>
        <v/>
      </c>
      <c r="D641" s="34"/>
      <c r="E641" s="33" t="str">
        <f t="shared" si="63"/>
        <v/>
      </c>
      <c r="F641" s="33" t="str">
        <f t="shared" si="64"/>
        <v/>
      </c>
      <c r="G641" s="35"/>
      <c r="H641" s="35"/>
      <c r="I641" s="33"/>
      <c r="J641" s="33" t="str">
        <f t="shared" si="65"/>
        <v/>
      </c>
      <c r="K641" s="36"/>
      <c r="L641" s="37"/>
      <c r="M641" s="37"/>
      <c r="N641" s="37"/>
      <c r="O641" s="37"/>
      <c r="P641" s="37"/>
      <c r="Q641" s="37"/>
      <c r="R641" s="37"/>
      <c r="S641" s="37"/>
      <c r="T641" s="38"/>
      <c r="U641" s="40"/>
      <c r="V641" s="40"/>
      <c r="W641" s="40"/>
      <c r="X641" s="41"/>
      <c r="Y641" s="37"/>
      <c r="Z641" s="37"/>
      <c r="AA641" s="37"/>
      <c r="AB641" s="37"/>
      <c r="AC641" s="37"/>
      <c r="AD641" s="40"/>
      <c r="AE641" s="40"/>
      <c r="AF641" s="40"/>
      <c r="AG641" s="42"/>
      <c r="AH641" s="36"/>
      <c r="AI641" s="36"/>
    </row>
    <row r="642" spans="1:35" x14ac:dyDescent="0.3">
      <c r="A642" s="32" t="str">
        <f t="shared" si="60"/>
        <v/>
      </c>
      <c r="B642" s="33" t="str">
        <f t="shared" si="61"/>
        <v/>
      </c>
      <c r="C642" s="33" t="str">
        <f t="shared" si="62"/>
        <v/>
      </c>
      <c r="D642" s="34"/>
      <c r="E642" s="33" t="str">
        <f t="shared" si="63"/>
        <v/>
      </c>
      <c r="F642" s="33" t="str">
        <f t="shared" si="64"/>
        <v/>
      </c>
      <c r="G642" s="35"/>
      <c r="H642" s="35"/>
      <c r="I642" s="33"/>
      <c r="J642" s="33" t="str">
        <f t="shared" si="65"/>
        <v/>
      </c>
      <c r="K642" s="36"/>
      <c r="L642" s="37"/>
      <c r="M642" s="37"/>
      <c r="N642" s="37"/>
      <c r="O642" s="37"/>
      <c r="P642" s="37"/>
      <c r="Q642" s="37"/>
      <c r="R642" s="37"/>
      <c r="S642" s="37"/>
      <c r="T642" s="38"/>
      <c r="U642" s="40"/>
      <c r="V642" s="40"/>
      <c r="W642" s="40"/>
      <c r="X642" s="41"/>
      <c r="Y642" s="37"/>
      <c r="Z642" s="37"/>
      <c r="AA642" s="37"/>
      <c r="AB642" s="37"/>
      <c r="AC642" s="37"/>
      <c r="AD642" s="40"/>
      <c r="AE642" s="40"/>
      <c r="AF642" s="40"/>
      <c r="AG642" s="42"/>
      <c r="AH642" s="36"/>
      <c r="AI642" s="36"/>
    </row>
    <row r="643" spans="1:35" x14ac:dyDescent="0.3">
      <c r="A643" s="32" t="str">
        <f t="shared" si="60"/>
        <v/>
      </c>
      <c r="B643" s="33" t="str">
        <f t="shared" si="61"/>
        <v/>
      </c>
      <c r="C643" s="33" t="str">
        <f t="shared" si="62"/>
        <v/>
      </c>
      <c r="D643" s="34"/>
      <c r="E643" s="33" t="str">
        <f t="shared" si="63"/>
        <v/>
      </c>
      <c r="F643" s="33" t="str">
        <f t="shared" si="64"/>
        <v/>
      </c>
      <c r="G643" s="35"/>
      <c r="H643" s="35"/>
      <c r="I643" s="33"/>
      <c r="J643" s="33" t="str">
        <f t="shared" si="65"/>
        <v/>
      </c>
      <c r="K643" s="36"/>
      <c r="L643" s="37"/>
      <c r="M643" s="37"/>
      <c r="N643" s="37"/>
      <c r="O643" s="37"/>
      <c r="P643" s="37"/>
      <c r="Q643" s="37"/>
      <c r="R643" s="37"/>
      <c r="S643" s="37"/>
      <c r="T643" s="38"/>
      <c r="U643" s="40"/>
      <c r="V643" s="40"/>
      <c r="W643" s="40"/>
      <c r="X643" s="41"/>
      <c r="Y643" s="37"/>
      <c r="Z643" s="37"/>
      <c r="AA643" s="37"/>
      <c r="AB643" s="37"/>
      <c r="AC643" s="37"/>
      <c r="AD643" s="40"/>
      <c r="AE643" s="40"/>
      <c r="AF643" s="40"/>
      <c r="AG643" s="42"/>
      <c r="AH643" s="36"/>
      <c r="AI643" s="36"/>
    </row>
    <row r="644" spans="1:35" x14ac:dyDescent="0.3">
      <c r="A644" s="32" t="str">
        <f t="shared" si="60"/>
        <v/>
      </c>
      <c r="B644" s="33" t="str">
        <f t="shared" si="61"/>
        <v/>
      </c>
      <c r="C644" s="33" t="str">
        <f t="shared" si="62"/>
        <v/>
      </c>
      <c r="D644" s="34"/>
      <c r="E644" s="33" t="str">
        <f t="shared" si="63"/>
        <v/>
      </c>
      <c r="F644" s="33" t="str">
        <f t="shared" si="64"/>
        <v/>
      </c>
      <c r="G644" s="35"/>
      <c r="H644" s="35"/>
      <c r="I644" s="33"/>
      <c r="J644" s="33" t="str">
        <f t="shared" si="65"/>
        <v/>
      </c>
      <c r="K644" s="36"/>
      <c r="L644" s="37"/>
      <c r="M644" s="37"/>
      <c r="N644" s="37"/>
      <c r="O644" s="37"/>
      <c r="P644" s="37"/>
      <c r="Q644" s="37"/>
      <c r="R644" s="37"/>
      <c r="S644" s="37"/>
      <c r="T644" s="38"/>
      <c r="U644" s="40"/>
      <c r="V644" s="40"/>
      <c r="W644" s="40"/>
      <c r="X644" s="41"/>
      <c r="Y644" s="37"/>
      <c r="Z644" s="37"/>
      <c r="AA644" s="37"/>
      <c r="AB644" s="37"/>
      <c r="AC644" s="37"/>
      <c r="AD644" s="40"/>
      <c r="AE644" s="40"/>
      <c r="AF644" s="40"/>
      <c r="AG644" s="42"/>
      <c r="AH644" s="36"/>
      <c r="AI644" s="36"/>
    </row>
    <row r="645" spans="1:35" x14ac:dyDescent="0.3">
      <c r="A645" s="32" t="str">
        <f t="shared" si="60"/>
        <v/>
      </c>
      <c r="B645" s="33" t="str">
        <f t="shared" si="61"/>
        <v/>
      </c>
      <c r="C645" s="33" t="str">
        <f t="shared" si="62"/>
        <v/>
      </c>
      <c r="D645" s="34"/>
      <c r="E645" s="33" t="str">
        <f t="shared" si="63"/>
        <v/>
      </c>
      <c r="F645" s="33" t="str">
        <f t="shared" si="64"/>
        <v/>
      </c>
      <c r="G645" s="35"/>
      <c r="H645" s="35"/>
      <c r="I645" s="33"/>
      <c r="J645" s="33" t="str">
        <f t="shared" si="65"/>
        <v/>
      </c>
      <c r="K645" s="36"/>
      <c r="L645" s="37"/>
      <c r="M645" s="37"/>
      <c r="N645" s="37"/>
      <c r="O645" s="37"/>
      <c r="P645" s="37"/>
      <c r="Q645" s="37"/>
      <c r="R645" s="37"/>
      <c r="S645" s="37"/>
      <c r="T645" s="38"/>
      <c r="U645" s="40"/>
      <c r="V645" s="40"/>
      <c r="W645" s="40"/>
      <c r="X645" s="41"/>
      <c r="Y645" s="37"/>
      <c r="Z645" s="37"/>
      <c r="AA645" s="37"/>
      <c r="AB645" s="37"/>
      <c r="AC645" s="37"/>
      <c r="AD645" s="40"/>
      <c r="AE645" s="40"/>
      <c r="AF645" s="40"/>
      <c r="AG645" s="42"/>
      <c r="AH645" s="36"/>
      <c r="AI645" s="36"/>
    </row>
    <row r="646" spans="1:35" x14ac:dyDescent="0.3">
      <c r="A646" s="32" t="str">
        <f t="shared" si="60"/>
        <v/>
      </c>
      <c r="B646" s="33" t="str">
        <f t="shared" si="61"/>
        <v/>
      </c>
      <c r="C646" s="33" t="str">
        <f t="shared" si="62"/>
        <v/>
      </c>
      <c r="D646" s="34"/>
      <c r="E646" s="33" t="str">
        <f t="shared" si="63"/>
        <v/>
      </c>
      <c r="F646" s="33" t="str">
        <f t="shared" si="64"/>
        <v/>
      </c>
      <c r="G646" s="35"/>
      <c r="H646" s="35"/>
      <c r="I646" s="33"/>
      <c r="J646" s="33" t="str">
        <f t="shared" si="65"/>
        <v/>
      </c>
      <c r="K646" s="36"/>
      <c r="L646" s="37"/>
      <c r="M646" s="37"/>
      <c r="N646" s="37"/>
      <c r="O646" s="37"/>
      <c r="P646" s="37"/>
      <c r="Q646" s="37"/>
      <c r="R646" s="37"/>
      <c r="S646" s="37"/>
      <c r="T646" s="38"/>
      <c r="U646" s="40"/>
      <c r="V646" s="40"/>
      <c r="W646" s="40"/>
      <c r="X646" s="41"/>
      <c r="Y646" s="37"/>
      <c r="Z646" s="37"/>
      <c r="AA646" s="37"/>
      <c r="AB646" s="37"/>
      <c r="AC646" s="37"/>
      <c r="AD646" s="40"/>
      <c r="AE646" s="40"/>
      <c r="AF646" s="40"/>
      <c r="AG646" s="42"/>
      <c r="AH646" s="36"/>
      <c r="AI646" s="36"/>
    </row>
    <row r="647" spans="1:35" x14ac:dyDescent="0.3">
      <c r="A647" s="32" t="str">
        <f t="shared" si="60"/>
        <v/>
      </c>
      <c r="B647" s="33" t="str">
        <f t="shared" si="61"/>
        <v/>
      </c>
      <c r="C647" s="33" t="str">
        <f t="shared" si="62"/>
        <v/>
      </c>
      <c r="D647" s="34"/>
      <c r="E647" s="33" t="str">
        <f t="shared" si="63"/>
        <v/>
      </c>
      <c r="F647" s="33" t="str">
        <f t="shared" si="64"/>
        <v/>
      </c>
      <c r="G647" s="35"/>
      <c r="H647" s="35"/>
      <c r="I647" s="33"/>
      <c r="J647" s="33" t="str">
        <f t="shared" si="65"/>
        <v/>
      </c>
      <c r="K647" s="36"/>
      <c r="L647" s="37"/>
      <c r="M647" s="37"/>
      <c r="N647" s="37"/>
      <c r="O647" s="37"/>
      <c r="P647" s="37"/>
      <c r="Q647" s="37"/>
      <c r="R647" s="37"/>
      <c r="S647" s="37"/>
      <c r="T647" s="38"/>
      <c r="U647" s="40"/>
      <c r="V647" s="40"/>
      <c r="W647" s="40"/>
      <c r="X647" s="41"/>
      <c r="Y647" s="37"/>
      <c r="Z647" s="37"/>
      <c r="AA647" s="37"/>
      <c r="AB647" s="37"/>
      <c r="AC647" s="37"/>
      <c r="AD647" s="40"/>
      <c r="AE647" s="40"/>
      <c r="AF647" s="40"/>
      <c r="AG647" s="42"/>
      <c r="AH647" s="36"/>
      <c r="AI647" s="36"/>
    </row>
    <row r="648" spans="1:35" x14ac:dyDescent="0.3">
      <c r="A648" s="32" t="str">
        <f t="shared" si="60"/>
        <v/>
      </c>
      <c r="B648" s="33" t="str">
        <f t="shared" si="61"/>
        <v/>
      </c>
      <c r="C648" s="33" t="str">
        <f t="shared" si="62"/>
        <v/>
      </c>
      <c r="D648" s="34"/>
      <c r="E648" s="33" t="str">
        <f t="shared" si="63"/>
        <v/>
      </c>
      <c r="F648" s="33" t="str">
        <f t="shared" si="64"/>
        <v/>
      </c>
      <c r="G648" s="35"/>
      <c r="H648" s="35"/>
      <c r="I648" s="33"/>
      <c r="J648" s="33" t="str">
        <f t="shared" si="65"/>
        <v/>
      </c>
      <c r="K648" s="36"/>
      <c r="L648" s="37"/>
      <c r="M648" s="37"/>
      <c r="N648" s="37"/>
      <c r="O648" s="37"/>
      <c r="P648" s="37"/>
      <c r="Q648" s="37"/>
      <c r="R648" s="37"/>
      <c r="S648" s="37"/>
      <c r="T648" s="38"/>
      <c r="U648" s="40"/>
      <c r="V648" s="40"/>
      <c r="W648" s="40"/>
      <c r="X648" s="41"/>
      <c r="Y648" s="37"/>
      <c r="Z648" s="37"/>
      <c r="AA648" s="37"/>
      <c r="AB648" s="37"/>
      <c r="AC648" s="37"/>
      <c r="AD648" s="40"/>
      <c r="AE648" s="40"/>
      <c r="AF648" s="40"/>
      <c r="AG648" s="42"/>
      <c r="AH648" s="36"/>
      <c r="AI648" s="36"/>
    </row>
    <row r="649" spans="1:35" x14ac:dyDescent="0.3">
      <c r="A649" s="32" t="str">
        <f t="shared" si="60"/>
        <v/>
      </c>
      <c r="B649" s="33" t="str">
        <f t="shared" si="61"/>
        <v/>
      </c>
      <c r="C649" s="33" t="str">
        <f t="shared" si="62"/>
        <v/>
      </c>
      <c r="D649" s="34"/>
      <c r="E649" s="33" t="str">
        <f t="shared" si="63"/>
        <v/>
      </c>
      <c r="F649" s="33" t="str">
        <f t="shared" si="64"/>
        <v/>
      </c>
      <c r="G649" s="35"/>
      <c r="H649" s="35"/>
      <c r="I649" s="33"/>
      <c r="J649" s="33" t="str">
        <f t="shared" si="65"/>
        <v/>
      </c>
      <c r="K649" s="36"/>
      <c r="L649" s="37"/>
      <c r="M649" s="37"/>
      <c r="N649" s="37"/>
      <c r="O649" s="37"/>
      <c r="P649" s="37"/>
      <c r="Q649" s="37"/>
      <c r="R649" s="37"/>
      <c r="S649" s="37"/>
      <c r="T649" s="38"/>
      <c r="U649" s="40"/>
      <c r="V649" s="40"/>
      <c r="W649" s="40"/>
      <c r="X649" s="41"/>
      <c r="Y649" s="37"/>
      <c r="Z649" s="37"/>
      <c r="AA649" s="37"/>
      <c r="AB649" s="37"/>
      <c r="AC649" s="37"/>
      <c r="AD649" s="40"/>
      <c r="AE649" s="40"/>
      <c r="AF649" s="40"/>
      <c r="AG649" s="42"/>
      <c r="AH649" s="36"/>
      <c r="AI649" s="36"/>
    </row>
    <row r="650" spans="1:35" x14ac:dyDescent="0.3">
      <c r="A650" s="32" t="str">
        <f t="shared" si="60"/>
        <v/>
      </c>
      <c r="B650" s="33" t="str">
        <f t="shared" si="61"/>
        <v/>
      </c>
      <c r="C650" s="33" t="str">
        <f t="shared" si="62"/>
        <v/>
      </c>
      <c r="D650" s="34"/>
      <c r="E650" s="33" t="str">
        <f t="shared" si="63"/>
        <v/>
      </c>
      <c r="F650" s="33" t="str">
        <f t="shared" si="64"/>
        <v/>
      </c>
      <c r="G650" s="35"/>
      <c r="H650" s="35"/>
      <c r="I650" s="33"/>
      <c r="J650" s="33" t="str">
        <f t="shared" si="65"/>
        <v/>
      </c>
      <c r="K650" s="36"/>
      <c r="L650" s="37"/>
      <c r="M650" s="37"/>
      <c r="N650" s="37"/>
      <c r="O650" s="37"/>
      <c r="P650" s="37"/>
      <c r="Q650" s="37"/>
      <c r="R650" s="37"/>
      <c r="S650" s="37"/>
      <c r="T650" s="38"/>
      <c r="U650" s="40"/>
      <c r="V650" s="40"/>
      <c r="W650" s="40"/>
      <c r="X650" s="41"/>
      <c r="Y650" s="37"/>
      <c r="Z650" s="37"/>
      <c r="AA650" s="37"/>
      <c r="AB650" s="37"/>
      <c r="AC650" s="37"/>
      <c r="AD650" s="40"/>
      <c r="AE650" s="40"/>
      <c r="AF650" s="40"/>
      <c r="AG650" s="42"/>
      <c r="AH650" s="36"/>
      <c r="AI650" s="36"/>
    </row>
    <row r="651" spans="1:35" x14ac:dyDescent="0.3">
      <c r="A651" s="32" t="str">
        <f t="shared" si="60"/>
        <v/>
      </c>
      <c r="B651" s="33" t="str">
        <f t="shared" si="61"/>
        <v/>
      </c>
      <c r="C651" s="33" t="str">
        <f t="shared" si="62"/>
        <v/>
      </c>
      <c r="D651" s="34"/>
      <c r="E651" s="33" t="str">
        <f t="shared" si="63"/>
        <v/>
      </c>
      <c r="F651" s="33" t="str">
        <f t="shared" si="64"/>
        <v/>
      </c>
      <c r="G651" s="35"/>
      <c r="H651" s="35"/>
      <c r="I651" s="33"/>
      <c r="J651" s="33" t="str">
        <f t="shared" si="65"/>
        <v/>
      </c>
      <c r="K651" s="36"/>
      <c r="L651" s="37"/>
      <c r="M651" s="37"/>
      <c r="N651" s="37"/>
      <c r="O651" s="37"/>
      <c r="P651" s="37"/>
      <c r="Q651" s="37"/>
      <c r="R651" s="37"/>
      <c r="S651" s="37"/>
      <c r="T651" s="38"/>
      <c r="U651" s="40"/>
      <c r="V651" s="40"/>
      <c r="W651" s="40"/>
      <c r="X651" s="41"/>
      <c r="Y651" s="37"/>
      <c r="Z651" s="37"/>
      <c r="AA651" s="37"/>
      <c r="AB651" s="37"/>
      <c r="AC651" s="37"/>
      <c r="AD651" s="40"/>
      <c r="AE651" s="40"/>
      <c r="AF651" s="40"/>
      <c r="AG651" s="42"/>
      <c r="AH651" s="36"/>
      <c r="AI651" s="36"/>
    </row>
    <row r="652" spans="1:35" x14ac:dyDescent="0.3">
      <c r="A652" s="32" t="str">
        <f t="shared" si="60"/>
        <v/>
      </c>
      <c r="B652" s="33" t="str">
        <f t="shared" si="61"/>
        <v/>
      </c>
      <c r="C652" s="33" t="str">
        <f t="shared" si="62"/>
        <v/>
      </c>
      <c r="D652" s="34"/>
      <c r="E652" s="33" t="str">
        <f t="shared" si="63"/>
        <v/>
      </c>
      <c r="F652" s="33" t="str">
        <f t="shared" si="64"/>
        <v/>
      </c>
      <c r="G652" s="35"/>
      <c r="H652" s="35"/>
      <c r="I652" s="33"/>
      <c r="J652" s="33" t="str">
        <f t="shared" si="65"/>
        <v/>
      </c>
      <c r="K652" s="36"/>
      <c r="L652" s="37"/>
      <c r="M652" s="37"/>
      <c r="N652" s="37"/>
      <c r="O652" s="37"/>
      <c r="P652" s="37"/>
      <c r="Q652" s="37"/>
      <c r="R652" s="37"/>
      <c r="S652" s="37"/>
      <c r="T652" s="38"/>
      <c r="U652" s="40"/>
      <c r="V652" s="40"/>
      <c r="W652" s="40"/>
      <c r="X652" s="41"/>
      <c r="Y652" s="37"/>
      <c r="Z652" s="37"/>
      <c r="AA652" s="37"/>
      <c r="AB652" s="37"/>
      <c r="AC652" s="37"/>
      <c r="AD652" s="40"/>
      <c r="AE652" s="40"/>
      <c r="AF652" s="40"/>
      <c r="AG652" s="42"/>
      <c r="AH652" s="36"/>
      <c r="AI652" s="36"/>
    </row>
    <row r="653" spans="1:35" x14ac:dyDescent="0.3">
      <c r="A653" s="32" t="str">
        <f t="shared" si="60"/>
        <v/>
      </c>
      <c r="B653" s="33" t="str">
        <f t="shared" si="61"/>
        <v/>
      </c>
      <c r="C653" s="33" t="str">
        <f t="shared" si="62"/>
        <v/>
      </c>
      <c r="D653" s="34"/>
      <c r="E653" s="33" t="str">
        <f t="shared" si="63"/>
        <v/>
      </c>
      <c r="F653" s="33" t="str">
        <f t="shared" si="64"/>
        <v/>
      </c>
      <c r="G653" s="35"/>
      <c r="H653" s="35"/>
      <c r="I653" s="33"/>
      <c r="J653" s="33" t="str">
        <f t="shared" si="65"/>
        <v/>
      </c>
      <c r="K653" s="36"/>
      <c r="L653" s="37"/>
      <c r="M653" s="37"/>
      <c r="N653" s="37"/>
      <c r="O653" s="37"/>
      <c r="P653" s="37"/>
      <c r="Q653" s="37"/>
      <c r="R653" s="37"/>
      <c r="S653" s="37"/>
      <c r="T653" s="38"/>
      <c r="U653" s="40"/>
      <c r="V653" s="40"/>
      <c r="W653" s="40"/>
      <c r="X653" s="41"/>
      <c r="Y653" s="37"/>
      <c r="Z653" s="37"/>
      <c r="AA653" s="37"/>
      <c r="AB653" s="37"/>
      <c r="AC653" s="37"/>
      <c r="AD653" s="40"/>
      <c r="AE653" s="40"/>
      <c r="AF653" s="40"/>
      <c r="AG653" s="42"/>
      <c r="AH653" s="36"/>
      <c r="AI653" s="36"/>
    </row>
    <row r="654" spans="1:35" x14ac:dyDescent="0.3">
      <c r="A654" s="32" t="str">
        <f t="shared" si="60"/>
        <v/>
      </c>
      <c r="B654" s="33" t="str">
        <f t="shared" si="61"/>
        <v/>
      </c>
      <c r="C654" s="33" t="str">
        <f t="shared" si="62"/>
        <v/>
      </c>
      <c r="D654" s="34"/>
      <c r="E654" s="33" t="str">
        <f t="shared" si="63"/>
        <v/>
      </c>
      <c r="F654" s="33" t="str">
        <f t="shared" si="64"/>
        <v/>
      </c>
      <c r="G654" s="35"/>
      <c r="H654" s="35"/>
      <c r="I654" s="33"/>
      <c r="J654" s="33" t="str">
        <f t="shared" si="65"/>
        <v/>
      </c>
      <c r="K654" s="36"/>
      <c r="L654" s="37"/>
      <c r="M654" s="37"/>
      <c r="N654" s="37"/>
      <c r="O654" s="37"/>
      <c r="P654" s="37"/>
      <c r="Q654" s="37"/>
      <c r="R654" s="37"/>
      <c r="S654" s="37"/>
      <c r="T654" s="38"/>
      <c r="U654" s="40"/>
      <c r="V654" s="40"/>
      <c r="W654" s="40"/>
      <c r="X654" s="41"/>
      <c r="Y654" s="37"/>
      <c r="Z654" s="37"/>
      <c r="AA654" s="37"/>
      <c r="AB654" s="37"/>
      <c r="AC654" s="37"/>
      <c r="AD654" s="40"/>
      <c r="AE654" s="40"/>
      <c r="AF654" s="40"/>
      <c r="AG654" s="42"/>
      <c r="AH654" s="36"/>
      <c r="AI654" s="36"/>
    </row>
    <row r="655" spans="1:35" x14ac:dyDescent="0.3">
      <c r="A655" s="32" t="str">
        <f t="shared" si="60"/>
        <v/>
      </c>
      <c r="B655" s="33" t="str">
        <f t="shared" si="61"/>
        <v/>
      </c>
      <c r="C655" s="33" t="str">
        <f t="shared" si="62"/>
        <v/>
      </c>
      <c r="D655" s="34"/>
      <c r="E655" s="33" t="str">
        <f t="shared" si="63"/>
        <v/>
      </c>
      <c r="F655" s="33" t="str">
        <f t="shared" si="64"/>
        <v/>
      </c>
      <c r="G655" s="35"/>
      <c r="H655" s="35"/>
      <c r="I655" s="33"/>
      <c r="J655" s="33" t="str">
        <f t="shared" si="65"/>
        <v/>
      </c>
      <c r="K655" s="36"/>
      <c r="L655" s="37"/>
      <c r="M655" s="37"/>
      <c r="N655" s="37"/>
      <c r="O655" s="37"/>
      <c r="P655" s="37"/>
      <c r="Q655" s="37"/>
      <c r="R655" s="37"/>
      <c r="S655" s="37"/>
      <c r="T655" s="38"/>
      <c r="U655" s="40"/>
      <c r="V655" s="40"/>
      <c r="W655" s="40"/>
      <c r="X655" s="41"/>
      <c r="Y655" s="37"/>
      <c r="Z655" s="37"/>
      <c r="AA655" s="37"/>
      <c r="AB655" s="37"/>
      <c r="AC655" s="37"/>
      <c r="AD655" s="40"/>
      <c r="AE655" s="40"/>
      <c r="AF655" s="40"/>
      <c r="AG655" s="42"/>
      <c r="AH655" s="36"/>
      <c r="AI655" s="36"/>
    </row>
    <row r="656" spans="1:35" x14ac:dyDescent="0.3">
      <c r="A656" s="32" t="str">
        <f t="shared" si="60"/>
        <v/>
      </c>
      <c r="B656" s="33" t="str">
        <f t="shared" si="61"/>
        <v/>
      </c>
      <c r="C656" s="33" t="str">
        <f t="shared" si="62"/>
        <v/>
      </c>
      <c r="D656" s="34"/>
      <c r="E656" s="33" t="str">
        <f t="shared" si="63"/>
        <v/>
      </c>
      <c r="F656" s="33" t="str">
        <f t="shared" si="64"/>
        <v/>
      </c>
      <c r="G656" s="35"/>
      <c r="H656" s="35"/>
      <c r="I656" s="33"/>
      <c r="J656" s="33" t="str">
        <f t="shared" si="65"/>
        <v/>
      </c>
      <c r="K656" s="36"/>
      <c r="L656" s="37"/>
      <c r="M656" s="37"/>
      <c r="N656" s="37"/>
      <c r="O656" s="37"/>
      <c r="P656" s="37"/>
      <c r="Q656" s="37"/>
      <c r="R656" s="37"/>
      <c r="S656" s="37"/>
      <c r="T656" s="38"/>
      <c r="U656" s="40"/>
      <c r="V656" s="40"/>
      <c r="W656" s="40"/>
      <c r="X656" s="41"/>
      <c r="Y656" s="37"/>
      <c r="Z656" s="37"/>
      <c r="AA656" s="37"/>
      <c r="AB656" s="37"/>
      <c r="AC656" s="37"/>
      <c r="AD656" s="40"/>
      <c r="AE656" s="40"/>
      <c r="AF656" s="40"/>
      <c r="AG656" s="42"/>
      <c r="AH656" s="36"/>
      <c r="AI656" s="36"/>
    </row>
    <row r="657" spans="1:35" x14ac:dyDescent="0.3">
      <c r="A657" s="32" t="str">
        <f t="shared" ref="A657:A720" si="66">IF($K657="", "", ROW()-15)</f>
        <v/>
      </c>
      <c r="B657" s="33" t="str">
        <f t="shared" ref="B657:B720" si="67">IFERROR(IF(ISNUMBER(SEARCH("Q", $K657)), "Q", MID(RIGHT($J657, 4), 1, 1)), "")</f>
        <v/>
      </c>
      <c r="C657" s="33" t="str">
        <f t="shared" ref="C657:C720" si="68">IFERROR(IF(ISNUMBER(SEARCH("Q", $K657)), LEFT($K657, LEN($K657)-15), LEFT($K657, LEN($K657)-8)), "")</f>
        <v/>
      </c>
      <c r="D657" s="34"/>
      <c r="E657" s="33" t="str">
        <f t="shared" ref="E657:E720" si="69">IFERROR(IF($F657="", "", IF($F657="01", "최초", "추가")), " ")</f>
        <v/>
      </c>
      <c r="F657" s="33" t="str">
        <f t="shared" ref="F657:F720" si="70">IFERROR(IF(ISNUMBER(SEARCH("Q", $K657)), MID(RIGHT($K657, 9), 1, 2), RIGHT($K657, 2)), "")</f>
        <v/>
      </c>
      <c r="G657" s="35"/>
      <c r="H657" s="35"/>
      <c r="I657" s="33"/>
      <c r="J657" s="33" t="str">
        <f t="shared" ref="J657:J720" si="71">IFERROR(IF(ISNUMBER(SEARCH("Q", $K657)), LEFT($K657, LEN($K657)-10), LEFT($K657, LEN($K657)-3)), "")</f>
        <v/>
      </c>
      <c r="K657" s="36"/>
      <c r="L657" s="37"/>
      <c r="M657" s="37"/>
      <c r="N657" s="37"/>
      <c r="O657" s="37"/>
      <c r="P657" s="37"/>
      <c r="Q657" s="37"/>
      <c r="R657" s="37"/>
      <c r="S657" s="37"/>
      <c r="T657" s="38"/>
      <c r="U657" s="40"/>
      <c r="V657" s="40"/>
      <c r="W657" s="40"/>
      <c r="X657" s="41"/>
      <c r="Y657" s="37"/>
      <c r="Z657" s="37"/>
      <c r="AA657" s="37"/>
      <c r="AB657" s="37"/>
      <c r="AC657" s="37"/>
      <c r="AD657" s="40"/>
      <c r="AE657" s="40"/>
      <c r="AF657" s="40"/>
      <c r="AG657" s="42"/>
      <c r="AH657" s="36"/>
      <c r="AI657" s="36"/>
    </row>
    <row r="658" spans="1:35" x14ac:dyDescent="0.3">
      <c r="A658" s="32" t="str">
        <f t="shared" si="66"/>
        <v/>
      </c>
      <c r="B658" s="33" t="str">
        <f t="shared" si="67"/>
        <v/>
      </c>
      <c r="C658" s="33" t="str">
        <f t="shared" si="68"/>
        <v/>
      </c>
      <c r="D658" s="34"/>
      <c r="E658" s="33" t="str">
        <f t="shared" si="69"/>
        <v/>
      </c>
      <c r="F658" s="33" t="str">
        <f t="shared" si="70"/>
        <v/>
      </c>
      <c r="G658" s="35"/>
      <c r="H658" s="35"/>
      <c r="I658" s="33"/>
      <c r="J658" s="33" t="str">
        <f t="shared" si="71"/>
        <v/>
      </c>
      <c r="K658" s="36"/>
      <c r="L658" s="37"/>
      <c r="M658" s="37"/>
      <c r="N658" s="37"/>
      <c r="O658" s="37"/>
      <c r="P658" s="37"/>
      <c r="Q658" s="37"/>
      <c r="R658" s="37"/>
      <c r="S658" s="37"/>
      <c r="T658" s="38"/>
      <c r="U658" s="40"/>
      <c r="V658" s="40"/>
      <c r="W658" s="40"/>
      <c r="X658" s="41"/>
      <c r="Y658" s="37"/>
      <c r="Z658" s="37"/>
      <c r="AA658" s="37"/>
      <c r="AB658" s="37"/>
      <c r="AC658" s="37"/>
      <c r="AD658" s="40"/>
      <c r="AE658" s="40"/>
      <c r="AF658" s="40"/>
      <c r="AG658" s="42"/>
      <c r="AH658" s="36"/>
      <c r="AI658" s="36"/>
    </row>
    <row r="659" spans="1:35" x14ac:dyDescent="0.3">
      <c r="A659" s="32" t="str">
        <f t="shared" si="66"/>
        <v/>
      </c>
      <c r="B659" s="33" t="str">
        <f t="shared" si="67"/>
        <v/>
      </c>
      <c r="C659" s="33" t="str">
        <f t="shared" si="68"/>
        <v/>
      </c>
      <c r="D659" s="34"/>
      <c r="E659" s="33" t="str">
        <f t="shared" si="69"/>
        <v/>
      </c>
      <c r="F659" s="33" t="str">
        <f t="shared" si="70"/>
        <v/>
      </c>
      <c r="G659" s="35"/>
      <c r="H659" s="35"/>
      <c r="I659" s="33"/>
      <c r="J659" s="33" t="str">
        <f t="shared" si="71"/>
        <v/>
      </c>
      <c r="K659" s="36"/>
      <c r="L659" s="37"/>
      <c r="M659" s="37"/>
      <c r="N659" s="37"/>
      <c r="O659" s="37"/>
      <c r="P659" s="37"/>
      <c r="Q659" s="37"/>
      <c r="R659" s="37"/>
      <c r="S659" s="37"/>
      <c r="T659" s="38"/>
      <c r="U659" s="40"/>
      <c r="V659" s="40"/>
      <c r="W659" s="40"/>
      <c r="X659" s="41"/>
      <c r="Y659" s="37"/>
      <c r="Z659" s="37"/>
      <c r="AA659" s="37"/>
      <c r="AB659" s="37"/>
      <c r="AC659" s="37"/>
      <c r="AD659" s="40"/>
      <c r="AE659" s="40"/>
      <c r="AF659" s="40"/>
      <c r="AG659" s="42"/>
      <c r="AH659" s="36"/>
      <c r="AI659" s="36"/>
    </row>
    <row r="660" spans="1:35" x14ac:dyDescent="0.3">
      <c r="A660" s="32" t="str">
        <f t="shared" si="66"/>
        <v/>
      </c>
      <c r="B660" s="33" t="str">
        <f t="shared" si="67"/>
        <v/>
      </c>
      <c r="C660" s="33" t="str">
        <f t="shared" si="68"/>
        <v/>
      </c>
      <c r="D660" s="34"/>
      <c r="E660" s="33" t="str">
        <f t="shared" si="69"/>
        <v/>
      </c>
      <c r="F660" s="33" t="str">
        <f t="shared" si="70"/>
        <v/>
      </c>
      <c r="G660" s="35"/>
      <c r="H660" s="35"/>
      <c r="I660" s="33"/>
      <c r="J660" s="33" t="str">
        <f t="shared" si="71"/>
        <v/>
      </c>
      <c r="K660" s="36"/>
      <c r="L660" s="37"/>
      <c r="M660" s="37"/>
      <c r="N660" s="37"/>
      <c r="O660" s="37"/>
      <c r="P660" s="37"/>
      <c r="Q660" s="37"/>
      <c r="R660" s="37"/>
      <c r="S660" s="37"/>
      <c r="T660" s="38"/>
      <c r="U660" s="40"/>
      <c r="V660" s="40"/>
      <c r="W660" s="40"/>
      <c r="X660" s="41"/>
      <c r="Y660" s="37"/>
      <c r="Z660" s="37"/>
      <c r="AA660" s="37"/>
      <c r="AB660" s="37"/>
      <c r="AC660" s="37"/>
      <c r="AD660" s="40"/>
      <c r="AE660" s="40"/>
      <c r="AF660" s="40"/>
      <c r="AG660" s="42"/>
      <c r="AH660" s="36"/>
      <c r="AI660" s="36"/>
    </row>
    <row r="661" spans="1:35" x14ac:dyDescent="0.3">
      <c r="A661" s="32" t="str">
        <f t="shared" si="66"/>
        <v/>
      </c>
      <c r="B661" s="33" t="str">
        <f t="shared" si="67"/>
        <v/>
      </c>
      <c r="C661" s="33" t="str">
        <f t="shared" si="68"/>
        <v/>
      </c>
      <c r="D661" s="34"/>
      <c r="E661" s="33" t="str">
        <f t="shared" si="69"/>
        <v/>
      </c>
      <c r="F661" s="33" t="str">
        <f t="shared" si="70"/>
        <v/>
      </c>
      <c r="G661" s="35"/>
      <c r="H661" s="35"/>
      <c r="I661" s="33"/>
      <c r="J661" s="33" t="str">
        <f t="shared" si="71"/>
        <v/>
      </c>
      <c r="K661" s="36"/>
      <c r="L661" s="37"/>
      <c r="M661" s="37"/>
      <c r="N661" s="37"/>
      <c r="O661" s="37"/>
      <c r="P661" s="37"/>
      <c r="Q661" s="37"/>
      <c r="R661" s="37"/>
      <c r="S661" s="37"/>
      <c r="T661" s="38"/>
      <c r="U661" s="40"/>
      <c r="V661" s="40"/>
      <c r="W661" s="40"/>
      <c r="X661" s="41"/>
      <c r="Y661" s="37"/>
      <c r="Z661" s="37"/>
      <c r="AA661" s="37"/>
      <c r="AB661" s="37"/>
      <c r="AC661" s="37"/>
      <c r="AD661" s="40"/>
      <c r="AE661" s="40"/>
      <c r="AF661" s="40"/>
      <c r="AG661" s="42"/>
      <c r="AH661" s="36"/>
      <c r="AI661" s="36"/>
    </row>
    <row r="662" spans="1:35" x14ac:dyDescent="0.3">
      <c r="A662" s="32" t="str">
        <f t="shared" si="66"/>
        <v/>
      </c>
      <c r="B662" s="33" t="str">
        <f t="shared" si="67"/>
        <v/>
      </c>
      <c r="C662" s="33" t="str">
        <f t="shared" si="68"/>
        <v/>
      </c>
      <c r="D662" s="34"/>
      <c r="E662" s="33" t="str">
        <f t="shared" si="69"/>
        <v/>
      </c>
      <c r="F662" s="33" t="str">
        <f t="shared" si="70"/>
        <v/>
      </c>
      <c r="G662" s="35"/>
      <c r="H662" s="35"/>
      <c r="I662" s="33"/>
      <c r="J662" s="33" t="str">
        <f t="shared" si="71"/>
        <v/>
      </c>
      <c r="K662" s="36"/>
      <c r="L662" s="37"/>
      <c r="M662" s="37"/>
      <c r="N662" s="37"/>
      <c r="O662" s="37"/>
      <c r="P662" s="37"/>
      <c r="Q662" s="37"/>
      <c r="R662" s="37"/>
      <c r="S662" s="37"/>
      <c r="T662" s="38"/>
      <c r="U662" s="40"/>
      <c r="V662" s="40"/>
      <c r="W662" s="40"/>
      <c r="X662" s="41"/>
      <c r="Y662" s="37"/>
      <c r="Z662" s="37"/>
      <c r="AA662" s="37"/>
      <c r="AB662" s="37"/>
      <c r="AC662" s="37"/>
      <c r="AD662" s="40"/>
      <c r="AE662" s="40"/>
      <c r="AF662" s="40"/>
      <c r="AG662" s="42"/>
      <c r="AH662" s="36"/>
      <c r="AI662" s="36"/>
    </row>
    <row r="663" spans="1:35" x14ac:dyDescent="0.3">
      <c r="A663" s="32" t="str">
        <f t="shared" si="66"/>
        <v/>
      </c>
      <c r="B663" s="33" t="str">
        <f t="shared" si="67"/>
        <v/>
      </c>
      <c r="C663" s="33" t="str">
        <f t="shared" si="68"/>
        <v/>
      </c>
      <c r="D663" s="34"/>
      <c r="E663" s="33" t="str">
        <f t="shared" si="69"/>
        <v/>
      </c>
      <c r="F663" s="33" t="str">
        <f t="shared" si="70"/>
        <v/>
      </c>
      <c r="G663" s="35"/>
      <c r="H663" s="35"/>
      <c r="I663" s="33"/>
      <c r="J663" s="33" t="str">
        <f t="shared" si="71"/>
        <v/>
      </c>
      <c r="K663" s="36"/>
      <c r="L663" s="37"/>
      <c r="M663" s="37"/>
      <c r="N663" s="37"/>
      <c r="O663" s="37"/>
      <c r="P663" s="37"/>
      <c r="Q663" s="37"/>
      <c r="R663" s="37"/>
      <c r="S663" s="37"/>
      <c r="T663" s="38"/>
      <c r="U663" s="40"/>
      <c r="V663" s="40"/>
      <c r="W663" s="40"/>
      <c r="X663" s="41"/>
      <c r="Y663" s="37"/>
      <c r="Z663" s="37"/>
      <c r="AA663" s="37"/>
      <c r="AB663" s="37"/>
      <c r="AC663" s="37"/>
      <c r="AD663" s="40"/>
      <c r="AE663" s="40"/>
      <c r="AF663" s="40"/>
      <c r="AG663" s="42"/>
      <c r="AH663" s="36"/>
      <c r="AI663" s="36"/>
    </row>
    <row r="664" spans="1:35" x14ac:dyDescent="0.3">
      <c r="A664" s="32" t="str">
        <f t="shared" si="66"/>
        <v/>
      </c>
      <c r="B664" s="33" t="str">
        <f t="shared" si="67"/>
        <v/>
      </c>
      <c r="C664" s="33" t="str">
        <f t="shared" si="68"/>
        <v/>
      </c>
      <c r="D664" s="34"/>
      <c r="E664" s="33" t="str">
        <f t="shared" si="69"/>
        <v/>
      </c>
      <c r="F664" s="33" t="str">
        <f t="shared" si="70"/>
        <v/>
      </c>
      <c r="G664" s="35"/>
      <c r="H664" s="35"/>
      <c r="I664" s="33"/>
      <c r="J664" s="33" t="str">
        <f t="shared" si="71"/>
        <v/>
      </c>
      <c r="K664" s="36"/>
      <c r="L664" s="37"/>
      <c r="M664" s="37"/>
      <c r="N664" s="37"/>
      <c r="O664" s="37"/>
      <c r="P664" s="37"/>
      <c r="Q664" s="37"/>
      <c r="R664" s="37"/>
      <c r="S664" s="37"/>
      <c r="T664" s="38"/>
      <c r="U664" s="40"/>
      <c r="V664" s="40"/>
      <c r="W664" s="40"/>
      <c r="X664" s="41"/>
      <c r="Y664" s="37"/>
      <c r="Z664" s="37"/>
      <c r="AA664" s="37"/>
      <c r="AB664" s="37"/>
      <c r="AC664" s="37"/>
      <c r="AD664" s="40"/>
      <c r="AE664" s="40"/>
      <c r="AF664" s="40"/>
      <c r="AG664" s="42"/>
      <c r="AH664" s="36"/>
      <c r="AI664" s="36"/>
    </row>
    <row r="665" spans="1:35" x14ac:dyDescent="0.3">
      <c r="A665" s="32" t="str">
        <f t="shared" si="66"/>
        <v/>
      </c>
      <c r="B665" s="33" t="str">
        <f t="shared" si="67"/>
        <v/>
      </c>
      <c r="C665" s="33" t="str">
        <f t="shared" si="68"/>
        <v/>
      </c>
      <c r="D665" s="34"/>
      <c r="E665" s="33" t="str">
        <f t="shared" si="69"/>
        <v/>
      </c>
      <c r="F665" s="33" t="str">
        <f t="shared" si="70"/>
        <v/>
      </c>
      <c r="G665" s="35"/>
      <c r="H665" s="35"/>
      <c r="I665" s="33"/>
      <c r="J665" s="33" t="str">
        <f t="shared" si="71"/>
        <v/>
      </c>
      <c r="K665" s="36"/>
      <c r="L665" s="37"/>
      <c r="M665" s="37"/>
      <c r="N665" s="37"/>
      <c r="O665" s="37"/>
      <c r="P665" s="37"/>
      <c r="Q665" s="37"/>
      <c r="R665" s="37"/>
      <c r="S665" s="37"/>
      <c r="T665" s="38"/>
      <c r="U665" s="40"/>
      <c r="V665" s="40"/>
      <c r="W665" s="40"/>
      <c r="X665" s="41"/>
      <c r="Y665" s="37"/>
      <c r="Z665" s="37"/>
      <c r="AA665" s="37"/>
      <c r="AB665" s="37"/>
      <c r="AC665" s="37"/>
      <c r="AD665" s="40"/>
      <c r="AE665" s="40"/>
      <c r="AF665" s="40"/>
      <c r="AG665" s="42"/>
      <c r="AH665" s="36"/>
      <c r="AI665" s="36"/>
    </row>
    <row r="666" spans="1:35" x14ac:dyDescent="0.3">
      <c r="A666" s="32" t="str">
        <f t="shared" si="66"/>
        <v/>
      </c>
      <c r="B666" s="33" t="str">
        <f t="shared" si="67"/>
        <v/>
      </c>
      <c r="C666" s="33" t="str">
        <f t="shared" si="68"/>
        <v/>
      </c>
      <c r="D666" s="34"/>
      <c r="E666" s="33" t="str">
        <f t="shared" si="69"/>
        <v/>
      </c>
      <c r="F666" s="33" t="str">
        <f t="shared" si="70"/>
        <v/>
      </c>
      <c r="G666" s="35"/>
      <c r="H666" s="35"/>
      <c r="I666" s="33"/>
      <c r="J666" s="33" t="str">
        <f t="shared" si="71"/>
        <v/>
      </c>
      <c r="K666" s="36"/>
      <c r="L666" s="37"/>
      <c r="M666" s="37"/>
      <c r="N666" s="37"/>
      <c r="O666" s="37"/>
      <c r="P666" s="37"/>
      <c r="Q666" s="37"/>
      <c r="R666" s="37"/>
      <c r="S666" s="37"/>
      <c r="T666" s="38"/>
      <c r="U666" s="40"/>
      <c r="V666" s="40"/>
      <c r="W666" s="40"/>
      <c r="X666" s="41"/>
      <c r="Y666" s="37"/>
      <c r="Z666" s="37"/>
      <c r="AA666" s="37"/>
      <c r="AB666" s="37"/>
      <c r="AC666" s="37"/>
      <c r="AD666" s="40"/>
      <c r="AE666" s="40"/>
      <c r="AF666" s="40"/>
      <c r="AG666" s="42"/>
      <c r="AH666" s="36"/>
      <c r="AI666" s="36"/>
    </row>
    <row r="667" spans="1:35" x14ac:dyDescent="0.3">
      <c r="A667" s="32" t="str">
        <f t="shared" si="66"/>
        <v/>
      </c>
      <c r="B667" s="33" t="str">
        <f t="shared" si="67"/>
        <v/>
      </c>
      <c r="C667" s="33" t="str">
        <f t="shared" si="68"/>
        <v/>
      </c>
      <c r="D667" s="34"/>
      <c r="E667" s="33" t="str">
        <f t="shared" si="69"/>
        <v/>
      </c>
      <c r="F667" s="33" t="str">
        <f t="shared" si="70"/>
        <v/>
      </c>
      <c r="G667" s="35"/>
      <c r="H667" s="35"/>
      <c r="I667" s="33"/>
      <c r="J667" s="33" t="str">
        <f t="shared" si="71"/>
        <v/>
      </c>
      <c r="K667" s="36"/>
      <c r="L667" s="37"/>
      <c r="M667" s="37"/>
      <c r="N667" s="37"/>
      <c r="O667" s="37"/>
      <c r="P667" s="37"/>
      <c r="Q667" s="37"/>
      <c r="R667" s="37"/>
      <c r="S667" s="37"/>
      <c r="T667" s="38"/>
      <c r="U667" s="40"/>
      <c r="V667" s="40"/>
      <c r="W667" s="40"/>
      <c r="X667" s="41"/>
      <c r="Y667" s="37"/>
      <c r="Z667" s="37"/>
      <c r="AA667" s="37"/>
      <c r="AB667" s="37"/>
      <c r="AC667" s="37"/>
      <c r="AD667" s="40"/>
      <c r="AE667" s="40"/>
      <c r="AF667" s="40"/>
      <c r="AG667" s="42"/>
      <c r="AH667" s="36"/>
      <c r="AI667" s="36"/>
    </row>
    <row r="668" spans="1:35" x14ac:dyDescent="0.3">
      <c r="A668" s="32" t="str">
        <f t="shared" si="66"/>
        <v/>
      </c>
      <c r="B668" s="33" t="str">
        <f t="shared" si="67"/>
        <v/>
      </c>
      <c r="C668" s="33" t="str">
        <f t="shared" si="68"/>
        <v/>
      </c>
      <c r="D668" s="34"/>
      <c r="E668" s="33" t="str">
        <f t="shared" si="69"/>
        <v/>
      </c>
      <c r="F668" s="33" t="str">
        <f t="shared" si="70"/>
        <v/>
      </c>
      <c r="G668" s="35"/>
      <c r="H668" s="35"/>
      <c r="I668" s="33"/>
      <c r="J668" s="33" t="str">
        <f t="shared" si="71"/>
        <v/>
      </c>
      <c r="K668" s="36"/>
      <c r="L668" s="37"/>
      <c r="M668" s="37"/>
      <c r="N668" s="37"/>
      <c r="O668" s="37"/>
      <c r="P668" s="37"/>
      <c r="Q668" s="37"/>
      <c r="R668" s="37"/>
      <c r="S668" s="37"/>
      <c r="T668" s="38"/>
      <c r="U668" s="40"/>
      <c r="V668" s="40"/>
      <c r="W668" s="40"/>
      <c r="X668" s="41"/>
      <c r="Y668" s="37"/>
      <c r="Z668" s="37"/>
      <c r="AA668" s="37"/>
      <c r="AB668" s="37"/>
      <c r="AC668" s="37"/>
      <c r="AD668" s="40"/>
      <c r="AE668" s="40"/>
      <c r="AF668" s="40"/>
      <c r="AG668" s="42"/>
      <c r="AH668" s="36"/>
      <c r="AI668" s="36"/>
    </row>
    <row r="669" spans="1:35" x14ac:dyDescent="0.3">
      <c r="A669" s="32" t="str">
        <f t="shared" si="66"/>
        <v/>
      </c>
      <c r="B669" s="33" t="str">
        <f t="shared" si="67"/>
        <v/>
      </c>
      <c r="C669" s="33" t="str">
        <f t="shared" si="68"/>
        <v/>
      </c>
      <c r="D669" s="34"/>
      <c r="E669" s="33" t="str">
        <f t="shared" si="69"/>
        <v/>
      </c>
      <c r="F669" s="33" t="str">
        <f t="shared" si="70"/>
        <v/>
      </c>
      <c r="G669" s="35"/>
      <c r="H669" s="35"/>
      <c r="I669" s="33"/>
      <c r="J669" s="33" t="str">
        <f t="shared" si="71"/>
        <v/>
      </c>
      <c r="K669" s="36"/>
      <c r="L669" s="37"/>
      <c r="M669" s="37"/>
      <c r="N669" s="37"/>
      <c r="O669" s="37"/>
      <c r="P669" s="37"/>
      <c r="Q669" s="37"/>
      <c r="R669" s="37"/>
      <c r="S669" s="37"/>
      <c r="T669" s="38"/>
      <c r="U669" s="40"/>
      <c r="V669" s="40"/>
      <c r="W669" s="40"/>
      <c r="X669" s="41"/>
      <c r="Y669" s="37"/>
      <c r="Z669" s="37"/>
      <c r="AA669" s="37"/>
      <c r="AB669" s="37"/>
      <c r="AC669" s="37"/>
      <c r="AD669" s="40"/>
      <c r="AE669" s="40"/>
      <c r="AF669" s="40"/>
      <c r="AG669" s="42"/>
      <c r="AH669" s="36"/>
      <c r="AI669" s="36"/>
    </row>
    <row r="670" spans="1:35" x14ac:dyDescent="0.3">
      <c r="A670" s="32" t="str">
        <f t="shared" si="66"/>
        <v/>
      </c>
      <c r="B670" s="33" t="str">
        <f t="shared" si="67"/>
        <v/>
      </c>
      <c r="C670" s="33" t="str">
        <f t="shared" si="68"/>
        <v/>
      </c>
      <c r="D670" s="34"/>
      <c r="E670" s="33" t="str">
        <f t="shared" si="69"/>
        <v/>
      </c>
      <c r="F670" s="33" t="str">
        <f t="shared" si="70"/>
        <v/>
      </c>
      <c r="G670" s="35"/>
      <c r="H670" s="35"/>
      <c r="I670" s="33"/>
      <c r="J670" s="33" t="str">
        <f t="shared" si="71"/>
        <v/>
      </c>
      <c r="K670" s="36"/>
      <c r="L670" s="37"/>
      <c r="M670" s="37"/>
      <c r="N670" s="37"/>
      <c r="O670" s="37"/>
      <c r="P670" s="37"/>
      <c r="Q670" s="37"/>
      <c r="R670" s="37"/>
      <c r="S670" s="37"/>
      <c r="T670" s="38"/>
      <c r="U670" s="40"/>
      <c r="V670" s="40"/>
      <c r="W670" s="40"/>
      <c r="X670" s="41"/>
      <c r="Y670" s="37"/>
      <c r="Z670" s="37"/>
      <c r="AA670" s="37"/>
      <c r="AB670" s="37"/>
      <c r="AC670" s="37"/>
      <c r="AD670" s="40"/>
      <c r="AE670" s="40"/>
      <c r="AF670" s="40"/>
      <c r="AG670" s="42"/>
      <c r="AH670" s="36"/>
      <c r="AI670" s="36"/>
    </row>
    <row r="671" spans="1:35" x14ac:dyDescent="0.3">
      <c r="A671" s="32" t="str">
        <f t="shared" si="66"/>
        <v/>
      </c>
      <c r="B671" s="33" t="str">
        <f t="shared" si="67"/>
        <v/>
      </c>
      <c r="C671" s="33" t="str">
        <f t="shared" si="68"/>
        <v/>
      </c>
      <c r="D671" s="34"/>
      <c r="E671" s="33" t="str">
        <f t="shared" si="69"/>
        <v/>
      </c>
      <c r="F671" s="33" t="str">
        <f t="shared" si="70"/>
        <v/>
      </c>
      <c r="G671" s="35"/>
      <c r="H671" s="35"/>
      <c r="I671" s="33"/>
      <c r="J671" s="33" t="str">
        <f t="shared" si="71"/>
        <v/>
      </c>
      <c r="K671" s="36"/>
      <c r="L671" s="37"/>
      <c r="M671" s="37"/>
      <c r="N671" s="37"/>
      <c r="O671" s="37"/>
      <c r="P671" s="37"/>
      <c r="Q671" s="37"/>
      <c r="R671" s="37"/>
      <c r="S671" s="37"/>
      <c r="T671" s="38"/>
      <c r="U671" s="40"/>
      <c r="V671" s="40"/>
      <c r="W671" s="40"/>
      <c r="X671" s="41"/>
      <c r="Y671" s="37"/>
      <c r="Z671" s="37"/>
      <c r="AA671" s="37"/>
      <c r="AB671" s="37"/>
      <c r="AC671" s="37"/>
      <c r="AD671" s="40"/>
      <c r="AE671" s="40"/>
      <c r="AF671" s="40"/>
      <c r="AG671" s="42"/>
      <c r="AH671" s="36"/>
      <c r="AI671" s="36"/>
    </row>
    <row r="672" spans="1:35" x14ac:dyDescent="0.3">
      <c r="A672" s="32" t="str">
        <f t="shared" si="66"/>
        <v/>
      </c>
      <c r="B672" s="33" t="str">
        <f t="shared" si="67"/>
        <v/>
      </c>
      <c r="C672" s="33" t="str">
        <f t="shared" si="68"/>
        <v/>
      </c>
      <c r="D672" s="34"/>
      <c r="E672" s="33" t="str">
        <f t="shared" si="69"/>
        <v/>
      </c>
      <c r="F672" s="33" t="str">
        <f t="shared" si="70"/>
        <v/>
      </c>
      <c r="G672" s="35"/>
      <c r="H672" s="35"/>
      <c r="I672" s="33"/>
      <c r="J672" s="33" t="str">
        <f t="shared" si="71"/>
        <v/>
      </c>
      <c r="K672" s="36"/>
      <c r="L672" s="37"/>
      <c r="M672" s="37"/>
      <c r="N672" s="37"/>
      <c r="O672" s="37"/>
      <c r="P672" s="37"/>
      <c r="Q672" s="37"/>
      <c r="R672" s="37"/>
      <c r="S672" s="37"/>
      <c r="T672" s="38"/>
      <c r="U672" s="40"/>
      <c r="V672" s="40"/>
      <c r="W672" s="40"/>
      <c r="X672" s="41"/>
      <c r="Y672" s="37"/>
      <c r="Z672" s="37"/>
      <c r="AA672" s="37"/>
      <c r="AB672" s="37"/>
      <c r="AC672" s="37"/>
      <c r="AD672" s="40"/>
      <c r="AE672" s="40"/>
      <c r="AF672" s="40"/>
      <c r="AG672" s="42"/>
      <c r="AH672" s="36"/>
      <c r="AI672" s="36"/>
    </row>
    <row r="673" spans="1:35" x14ac:dyDescent="0.3">
      <c r="A673" s="32" t="str">
        <f t="shared" si="66"/>
        <v/>
      </c>
      <c r="B673" s="33" t="str">
        <f t="shared" si="67"/>
        <v/>
      </c>
      <c r="C673" s="33" t="str">
        <f t="shared" si="68"/>
        <v/>
      </c>
      <c r="D673" s="34"/>
      <c r="E673" s="33" t="str">
        <f t="shared" si="69"/>
        <v/>
      </c>
      <c r="F673" s="33" t="str">
        <f t="shared" si="70"/>
        <v/>
      </c>
      <c r="G673" s="35"/>
      <c r="H673" s="35"/>
      <c r="I673" s="33"/>
      <c r="J673" s="33" t="str">
        <f t="shared" si="71"/>
        <v/>
      </c>
      <c r="K673" s="36"/>
      <c r="L673" s="37"/>
      <c r="M673" s="37"/>
      <c r="N673" s="37"/>
      <c r="O673" s="37"/>
      <c r="P673" s="37"/>
      <c r="Q673" s="37"/>
      <c r="R673" s="37"/>
      <c r="S673" s="37"/>
      <c r="T673" s="38"/>
      <c r="U673" s="40"/>
      <c r="V673" s="40"/>
      <c r="W673" s="40"/>
      <c r="X673" s="41"/>
      <c r="Y673" s="37"/>
      <c r="Z673" s="37"/>
      <c r="AA673" s="37"/>
      <c r="AB673" s="37"/>
      <c r="AC673" s="37"/>
      <c r="AD673" s="40"/>
      <c r="AE673" s="40"/>
      <c r="AF673" s="40"/>
      <c r="AG673" s="42"/>
      <c r="AH673" s="36"/>
      <c r="AI673" s="36"/>
    </row>
    <row r="674" spans="1:35" x14ac:dyDescent="0.3">
      <c r="A674" s="32" t="str">
        <f t="shared" si="66"/>
        <v/>
      </c>
      <c r="B674" s="33" t="str">
        <f t="shared" si="67"/>
        <v/>
      </c>
      <c r="C674" s="33" t="str">
        <f t="shared" si="68"/>
        <v/>
      </c>
      <c r="D674" s="34"/>
      <c r="E674" s="33" t="str">
        <f t="shared" si="69"/>
        <v/>
      </c>
      <c r="F674" s="33" t="str">
        <f t="shared" si="70"/>
        <v/>
      </c>
      <c r="G674" s="35"/>
      <c r="H674" s="35"/>
      <c r="I674" s="33"/>
      <c r="J674" s="33" t="str">
        <f t="shared" si="71"/>
        <v/>
      </c>
      <c r="K674" s="36"/>
      <c r="L674" s="37"/>
      <c r="M674" s="37"/>
      <c r="N674" s="37"/>
      <c r="O674" s="37"/>
      <c r="P674" s="37"/>
      <c r="Q674" s="37"/>
      <c r="R674" s="37"/>
      <c r="S674" s="37"/>
      <c r="T674" s="38"/>
      <c r="U674" s="40"/>
      <c r="V674" s="40"/>
      <c r="W674" s="40"/>
      <c r="X674" s="41"/>
      <c r="Y674" s="37"/>
      <c r="Z674" s="37"/>
      <c r="AA674" s="37"/>
      <c r="AB674" s="37"/>
      <c r="AC674" s="37"/>
      <c r="AD674" s="40"/>
      <c r="AE674" s="40"/>
      <c r="AF674" s="40"/>
      <c r="AG674" s="42"/>
      <c r="AH674" s="36"/>
      <c r="AI674" s="36"/>
    </row>
    <row r="675" spans="1:35" x14ac:dyDescent="0.3">
      <c r="A675" s="32" t="str">
        <f t="shared" si="66"/>
        <v/>
      </c>
      <c r="B675" s="33" t="str">
        <f t="shared" si="67"/>
        <v/>
      </c>
      <c r="C675" s="33" t="str">
        <f t="shared" si="68"/>
        <v/>
      </c>
      <c r="D675" s="34"/>
      <c r="E675" s="33" t="str">
        <f t="shared" si="69"/>
        <v/>
      </c>
      <c r="F675" s="33" t="str">
        <f t="shared" si="70"/>
        <v/>
      </c>
      <c r="G675" s="35"/>
      <c r="H675" s="35"/>
      <c r="I675" s="33"/>
      <c r="J675" s="33" t="str">
        <f t="shared" si="71"/>
        <v/>
      </c>
      <c r="K675" s="36"/>
      <c r="L675" s="37"/>
      <c r="M675" s="37"/>
      <c r="N675" s="37"/>
      <c r="O675" s="37"/>
      <c r="P675" s="37"/>
      <c r="Q675" s="37"/>
      <c r="R675" s="37"/>
      <c r="S675" s="37"/>
      <c r="T675" s="38"/>
      <c r="U675" s="40"/>
      <c r="V675" s="40"/>
      <c r="W675" s="40"/>
      <c r="X675" s="41"/>
      <c r="Y675" s="37"/>
      <c r="Z675" s="37"/>
      <c r="AA675" s="37"/>
      <c r="AB675" s="37"/>
      <c r="AC675" s="37"/>
      <c r="AD675" s="40"/>
      <c r="AE675" s="40"/>
      <c r="AF675" s="40"/>
      <c r="AG675" s="42"/>
      <c r="AH675" s="36"/>
      <c r="AI675" s="36"/>
    </row>
    <row r="676" spans="1:35" x14ac:dyDescent="0.3">
      <c r="A676" s="32" t="str">
        <f t="shared" si="66"/>
        <v/>
      </c>
      <c r="B676" s="33" t="str">
        <f t="shared" si="67"/>
        <v/>
      </c>
      <c r="C676" s="33" t="str">
        <f t="shared" si="68"/>
        <v/>
      </c>
      <c r="D676" s="34"/>
      <c r="E676" s="33" t="str">
        <f t="shared" si="69"/>
        <v/>
      </c>
      <c r="F676" s="33" t="str">
        <f t="shared" si="70"/>
        <v/>
      </c>
      <c r="G676" s="35"/>
      <c r="H676" s="35"/>
      <c r="I676" s="33"/>
      <c r="J676" s="33" t="str">
        <f t="shared" si="71"/>
        <v/>
      </c>
      <c r="K676" s="36"/>
      <c r="L676" s="37"/>
      <c r="M676" s="37"/>
      <c r="N676" s="37"/>
      <c r="O676" s="37"/>
      <c r="P676" s="37"/>
      <c r="Q676" s="37"/>
      <c r="R676" s="37"/>
      <c r="S676" s="37"/>
      <c r="T676" s="38"/>
      <c r="U676" s="40"/>
      <c r="V676" s="40"/>
      <c r="W676" s="40"/>
      <c r="X676" s="41"/>
      <c r="Y676" s="37"/>
      <c r="Z676" s="37"/>
      <c r="AA676" s="37"/>
      <c r="AB676" s="37"/>
      <c r="AC676" s="37"/>
      <c r="AD676" s="40"/>
      <c r="AE676" s="40"/>
      <c r="AF676" s="40"/>
      <c r="AG676" s="42"/>
      <c r="AH676" s="36"/>
      <c r="AI676" s="36"/>
    </row>
    <row r="677" spans="1:35" x14ac:dyDescent="0.3">
      <c r="A677" s="32" t="str">
        <f t="shared" si="66"/>
        <v/>
      </c>
      <c r="B677" s="33" t="str">
        <f t="shared" si="67"/>
        <v/>
      </c>
      <c r="C677" s="33" t="str">
        <f t="shared" si="68"/>
        <v/>
      </c>
      <c r="D677" s="34"/>
      <c r="E677" s="33" t="str">
        <f t="shared" si="69"/>
        <v/>
      </c>
      <c r="F677" s="33" t="str">
        <f t="shared" si="70"/>
        <v/>
      </c>
      <c r="G677" s="35"/>
      <c r="H677" s="35"/>
      <c r="I677" s="33"/>
      <c r="J677" s="33" t="str">
        <f t="shared" si="71"/>
        <v/>
      </c>
      <c r="K677" s="36"/>
      <c r="L677" s="37"/>
      <c r="M677" s="37"/>
      <c r="N677" s="37"/>
      <c r="O677" s="37"/>
      <c r="P677" s="37"/>
      <c r="Q677" s="37"/>
      <c r="R677" s="37"/>
      <c r="S677" s="37"/>
      <c r="T677" s="38"/>
      <c r="U677" s="40"/>
      <c r="V677" s="40"/>
      <c r="W677" s="40"/>
      <c r="X677" s="41"/>
      <c r="Y677" s="37"/>
      <c r="Z677" s="37"/>
      <c r="AA677" s="37"/>
      <c r="AB677" s="37"/>
      <c r="AC677" s="37"/>
      <c r="AD677" s="40"/>
      <c r="AE677" s="40"/>
      <c r="AF677" s="40"/>
      <c r="AG677" s="42"/>
      <c r="AH677" s="36"/>
      <c r="AI677" s="36"/>
    </row>
    <row r="678" spans="1:35" x14ac:dyDescent="0.3">
      <c r="A678" s="32" t="str">
        <f t="shared" si="66"/>
        <v/>
      </c>
      <c r="B678" s="33" t="str">
        <f t="shared" si="67"/>
        <v/>
      </c>
      <c r="C678" s="33" t="str">
        <f t="shared" si="68"/>
        <v/>
      </c>
      <c r="D678" s="34"/>
      <c r="E678" s="33" t="str">
        <f t="shared" si="69"/>
        <v/>
      </c>
      <c r="F678" s="33" t="str">
        <f t="shared" si="70"/>
        <v/>
      </c>
      <c r="G678" s="35"/>
      <c r="H678" s="35"/>
      <c r="I678" s="33"/>
      <c r="J678" s="33" t="str">
        <f t="shared" si="71"/>
        <v/>
      </c>
      <c r="K678" s="36"/>
      <c r="L678" s="37"/>
      <c r="M678" s="37"/>
      <c r="N678" s="37"/>
      <c r="O678" s="37"/>
      <c r="P678" s="37"/>
      <c r="Q678" s="37"/>
      <c r="R678" s="37"/>
      <c r="S678" s="37"/>
      <c r="T678" s="38"/>
      <c r="U678" s="40"/>
      <c r="V678" s="40"/>
      <c r="W678" s="40"/>
      <c r="X678" s="41"/>
      <c r="Y678" s="37"/>
      <c r="Z678" s="37"/>
      <c r="AA678" s="37"/>
      <c r="AB678" s="37"/>
      <c r="AC678" s="37"/>
      <c r="AD678" s="40"/>
      <c r="AE678" s="40"/>
      <c r="AF678" s="40"/>
      <c r="AG678" s="42"/>
      <c r="AH678" s="36"/>
      <c r="AI678" s="36"/>
    </row>
    <row r="679" spans="1:35" x14ac:dyDescent="0.3">
      <c r="A679" s="32" t="str">
        <f t="shared" si="66"/>
        <v/>
      </c>
      <c r="B679" s="33" t="str">
        <f t="shared" si="67"/>
        <v/>
      </c>
      <c r="C679" s="33" t="str">
        <f t="shared" si="68"/>
        <v/>
      </c>
      <c r="D679" s="34"/>
      <c r="E679" s="33" t="str">
        <f t="shared" si="69"/>
        <v/>
      </c>
      <c r="F679" s="33" t="str">
        <f t="shared" si="70"/>
        <v/>
      </c>
      <c r="G679" s="35"/>
      <c r="H679" s="35"/>
      <c r="I679" s="33"/>
      <c r="J679" s="33" t="str">
        <f t="shared" si="71"/>
        <v/>
      </c>
      <c r="K679" s="36"/>
      <c r="L679" s="37"/>
      <c r="M679" s="37"/>
      <c r="N679" s="37"/>
      <c r="O679" s="37"/>
      <c r="P679" s="37"/>
      <c r="Q679" s="37"/>
      <c r="R679" s="37"/>
      <c r="S679" s="37"/>
      <c r="T679" s="38"/>
      <c r="U679" s="40"/>
      <c r="V679" s="40"/>
      <c r="W679" s="40"/>
      <c r="X679" s="41"/>
      <c r="Y679" s="37"/>
      <c r="Z679" s="37"/>
      <c r="AA679" s="37"/>
      <c r="AB679" s="37"/>
      <c r="AC679" s="37"/>
      <c r="AD679" s="40"/>
      <c r="AE679" s="40"/>
      <c r="AF679" s="40"/>
      <c r="AG679" s="42"/>
      <c r="AH679" s="36"/>
      <c r="AI679" s="36"/>
    </row>
    <row r="680" spans="1:35" x14ac:dyDescent="0.3">
      <c r="A680" s="32" t="str">
        <f t="shared" si="66"/>
        <v/>
      </c>
      <c r="B680" s="33" t="str">
        <f t="shared" si="67"/>
        <v/>
      </c>
      <c r="C680" s="33" t="str">
        <f t="shared" si="68"/>
        <v/>
      </c>
      <c r="D680" s="34"/>
      <c r="E680" s="33" t="str">
        <f t="shared" si="69"/>
        <v/>
      </c>
      <c r="F680" s="33" t="str">
        <f t="shared" si="70"/>
        <v/>
      </c>
      <c r="G680" s="35"/>
      <c r="H680" s="35"/>
      <c r="I680" s="33"/>
      <c r="J680" s="33" t="str">
        <f t="shared" si="71"/>
        <v/>
      </c>
      <c r="K680" s="36"/>
      <c r="L680" s="37"/>
      <c r="M680" s="37"/>
      <c r="N680" s="37"/>
      <c r="O680" s="37"/>
      <c r="P680" s="37"/>
      <c r="Q680" s="37"/>
      <c r="R680" s="37"/>
      <c r="S680" s="37"/>
      <c r="T680" s="38"/>
      <c r="U680" s="40"/>
      <c r="V680" s="40"/>
      <c r="W680" s="40"/>
      <c r="X680" s="41"/>
      <c r="Y680" s="37"/>
      <c r="Z680" s="37"/>
      <c r="AA680" s="37"/>
      <c r="AB680" s="37"/>
      <c r="AC680" s="37"/>
      <c r="AD680" s="40"/>
      <c r="AE680" s="40"/>
      <c r="AF680" s="40"/>
      <c r="AG680" s="42"/>
      <c r="AH680" s="36"/>
      <c r="AI680" s="36"/>
    </row>
    <row r="681" spans="1:35" x14ac:dyDescent="0.3">
      <c r="A681" s="32" t="str">
        <f t="shared" si="66"/>
        <v/>
      </c>
      <c r="B681" s="33" t="str">
        <f t="shared" si="67"/>
        <v/>
      </c>
      <c r="C681" s="33" t="str">
        <f t="shared" si="68"/>
        <v/>
      </c>
      <c r="D681" s="34"/>
      <c r="E681" s="33" t="str">
        <f t="shared" si="69"/>
        <v/>
      </c>
      <c r="F681" s="33" t="str">
        <f t="shared" si="70"/>
        <v/>
      </c>
      <c r="G681" s="35"/>
      <c r="H681" s="35"/>
      <c r="I681" s="33"/>
      <c r="J681" s="33" t="str">
        <f t="shared" si="71"/>
        <v/>
      </c>
      <c r="K681" s="36"/>
      <c r="L681" s="37"/>
      <c r="M681" s="37"/>
      <c r="N681" s="37"/>
      <c r="O681" s="37"/>
      <c r="P681" s="37"/>
      <c r="Q681" s="37"/>
      <c r="R681" s="37"/>
      <c r="S681" s="37"/>
      <c r="T681" s="38"/>
      <c r="U681" s="40"/>
      <c r="V681" s="40"/>
      <c r="W681" s="40"/>
      <c r="X681" s="41"/>
      <c r="Y681" s="37"/>
      <c r="Z681" s="37"/>
      <c r="AA681" s="37"/>
      <c r="AB681" s="37"/>
      <c r="AC681" s="37"/>
      <c r="AD681" s="40"/>
      <c r="AE681" s="40"/>
      <c r="AF681" s="40"/>
      <c r="AG681" s="42"/>
      <c r="AH681" s="36"/>
      <c r="AI681" s="36"/>
    </row>
    <row r="682" spans="1:35" x14ac:dyDescent="0.3">
      <c r="A682" s="32" t="str">
        <f t="shared" si="66"/>
        <v/>
      </c>
      <c r="B682" s="33" t="str">
        <f t="shared" si="67"/>
        <v/>
      </c>
      <c r="C682" s="33" t="str">
        <f t="shared" si="68"/>
        <v/>
      </c>
      <c r="D682" s="34"/>
      <c r="E682" s="33" t="str">
        <f t="shared" si="69"/>
        <v/>
      </c>
      <c r="F682" s="33" t="str">
        <f t="shared" si="70"/>
        <v/>
      </c>
      <c r="G682" s="35"/>
      <c r="H682" s="35"/>
      <c r="I682" s="33"/>
      <c r="J682" s="33" t="str">
        <f t="shared" si="71"/>
        <v/>
      </c>
      <c r="K682" s="36"/>
      <c r="L682" s="37"/>
      <c r="M682" s="37"/>
      <c r="N682" s="37"/>
      <c r="O682" s="37"/>
      <c r="P682" s="37"/>
      <c r="Q682" s="37"/>
      <c r="R682" s="37"/>
      <c r="S682" s="37"/>
      <c r="T682" s="38"/>
      <c r="U682" s="40"/>
      <c r="V682" s="40"/>
      <c r="W682" s="40"/>
      <c r="X682" s="41"/>
      <c r="Y682" s="37"/>
      <c r="Z682" s="37"/>
      <c r="AA682" s="37"/>
      <c r="AB682" s="37"/>
      <c r="AC682" s="37"/>
      <c r="AD682" s="40"/>
      <c r="AE682" s="40"/>
      <c r="AF682" s="40"/>
      <c r="AG682" s="42"/>
      <c r="AH682" s="36"/>
      <c r="AI682" s="36"/>
    </row>
    <row r="683" spans="1:35" x14ac:dyDescent="0.3">
      <c r="A683" s="32" t="str">
        <f t="shared" si="66"/>
        <v/>
      </c>
      <c r="B683" s="33" t="str">
        <f t="shared" si="67"/>
        <v/>
      </c>
      <c r="C683" s="33" t="str">
        <f t="shared" si="68"/>
        <v/>
      </c>
      <c r="D683" s="34"/>
      <c r="E683" s="33" t="str">
        <f t="shared" si="69"/>
        <v/>
      </c>
      <c r="F683" s="33" t="str">
        <f t="shared" si="70"/>
        <v/>
      </c>
      <c r="G683" s="35"/>
      <c r="H683" s="35"/>
      <c r="I683" s="33"/>
      <c r="J683" s="33" t="str">
        <f t="shared" si="71"/>
        <v/>
      </c>
      <c r="K683" s="36"/>
      <c r="L683" s="37"/>
      <c r="M683" s="37"/>
      <c r="N683" s="37"/>
      <c r="O683" s="37"/>
      <c r="P683" s="37"/>
      <c r="Q683" s="37"/>
      <c r="R683" s="37"/>
      <c r="S683" s="37"/>
      <c r="T683" s="38"/>
      <c r="U683" s="40"/>
      <c r="V683" s="40"/>
      <c r="W683" s="40"/>
      <c r="X683" s="41"/>
      <c r="Y683" s="37"/>
      <c r="Z683" s="37"/>
      <c r="AA683" s="37"/>
      <c r="AB683" s="37"/>
      <c r="AC683" s="37"/>
      <c r="AD683" s="40"/>
      <c r="AE683" s="40"/>
      <c r="AF683" s="40"/>
      <c r="AG683" s="42"/>
      <c r="AH683" s="36"/>
      <c r="AI683" s="36"/>
    </row>
    <row r="684" spans="1:35" x14ac:dyDescent="0.3">
      <c r="A684" s="32" t="str">
        <f t="shared" si="66"/>
        <v/>
      </c>
      <c r="B684" s="33" t="str">
        <f t="shared" si="67"/>
        <v/>
      </c>
      <c r="C684" s="33" t="str">
        <f t="shared" si="68"/>
        <v/>
      </c>
      <c r="D684" s="34"/>
      <c r="E684" s="33" t="str">
        <f t="shared" si="69"/>
        <v/>
      </c>
      <c r="F684" s="33" t="str">
        <f t="shared" si="70"/>
        <v/>
      </c>
      <c r="G684" s="35"/>
      <c r="H684" s="35"/>
      <c r="I684" s="33"/>
      <c r="J684" s="33" t="str">
        <f t="shared" si="71"/>
        <v/>
      </c>
      <c r="K684" s="36"/>
      <c r="L684" s="37"/>
      <c r="M684" s="37"/>
      <c r="N684" s="37"/>
      <c r="O684" s="37"/>
      <c r="P684" s="37"/>
      <c r="Q684" s="37"/>
      <c r="R684" s="37"/>
      <c r="S684" s="37"/>
      <c r="T684" s="38"/>
      <c r="U684" s="40"/>
      <c r="V684" s="40"/>
      <c r="W684" s="40"/>
      <c r="X684" s="41"/>
      <c r="Y684" s="37"/>
      <c r="Z684" s="37"/>
      <c r="AA684" s="37"/>
      <c r="AB684" s="37"/>
      <c r="AC684" s="37"/>
      <c r="AD684" s="40"/>
      <c r="AE684" s="40"/>
      <c r="AF684" s="40"/>
      <c r="AG684" s="42"/>
      <c r="AH684" s="36"/>
      <c r="AI684" s="36"/>
    </row>
    <row r="685" spans="1:35" x14ac:dyDescent="0.3">
      <c r="A685" s="32" t="str">
        <f t="shared" si="66"/>
        <v/>
      </c>
      <c r="B685" s="33" t="str">
        <f t="shared" si="67"/>
        <v/>
      </c>
      <c r="C685" s="33" t="str">
        <f t="shared" si="68"/>
        <v/>
      </c>
      <c r="D685" s="34"/>
      <c r="E685" s="33" t="str">
        <f t="shared" si="69"/>
        <v/>
      </c>
      <c r="F685" s="33" t="str">
        <f t="shared" si="70"/>
        <v/>
      </c>
      <c r="G685" s="35"/>
      <c r="H685" s="35"/>
      <c r="I685" s="33"/>
      <c r="J685" s="33" t="str">
        <f t="shared" si="71"/>
        <v/>
      </c>
      <c r="K685" s="36"/>
      <c r="L685" s="37"/>
      <c r="M685" s="37"/>
      <c r="N685" s="37"/>
      <c r="O685" s="37"/>
      <c r="P685" s="37"/>
      <c r="Q685" s="37"/>
      <c r="R685" s="37"/>
      <c r="S685" s="37"/>
      <c r="T685" s="38"/>
      <c r="U685" s="40"/>
      <c r="V685" s="40"/>
      <c r="W685" s="40"/>
      <c r="X685" s="41"/>
      <c r="Y685" s="37"/>
      <c r="Z685" s="37"/>
      <c r="AA685" s="37"/>
      <c r="AB685" s="37"/>
      <c r="AC685" s="37"/>
      <c r="AD685" s="40"/>
      <c r="AE685" s="40"/>
      <c r="AF685" s="40"/>
      <c r="AG685" s="42"/>
      <c r="AH685" s="36"/>
      <c r="AI685" s="36"/>
    </row>
    <row r="686" spans="1:35" x14ac:dyDescent="0.3">
      <c r="A686" s="32" t="str">
        <f t="shared" si="66"/>
        <v/>
      </c>
      <c r="B686" s="33" t="str">
        <f t="shared" si="67"/>
        <v/>
      </c>
      <c r="C686" s="33" t="str">
        <f t="shared" si="68"/>
        <v/>
      </c>
      <c r="D686" s="34"/>
      <c r="E686" s="33" t="str">
        <f t="shared" si="69"/>
        <v/>
      </c>
      <c r="F686" s="33" t="str">
        <f t="shared" si="70"/>
        <v/>
      </c>
      <c r="G686" s="35"/>
      <c r="H686" s="35"/>
      <c r="I686" s="33"/>
      <c r="J686" s="33" t="str">
        <f t="shared" si="71"/>
        <v/>
      </c>
      <c r="K686" s="36"/>
      <c r="L686" s="37"/>
      <c r="M686" s="37"/>
      <c r="N686" s="37"/>
      <c r="O686" s="37"/>
      <c r="P686" s="37"/>
      <c r="Q686" s="37"/>
      <c r="R686" s="37"/>
      <c r="S686" s="37"/>
      <c r="T686" s="38"/>
      <c r="U686" s="40"/>
      <c r="V686" s="40"/>
      <c r="W686" s="40"/>
      <c r="X686" s="41"/>
      <c r="Y686" s="37"/>
      <c r="Z686" s="37"/>
      <c r="AA686" s="37"/>
      <c r="AB686" s="37"/>
      <c r="AC686" s="37"/>
      <c r="AD686" s="40"/>
      <c r="AE686" s="40"/>
      <c r="AF686" s="40"/>
      <c r="AG686" s="42"/>
      <c r="AH686" s="36"/>
      <c r="AI686" s="36"/>
    </row>
    <row r="687" spans="1:35" x14ac:dyDescent="0.3">
      <c r="A687" s="32" t="str">
        <f t="shared" si="66"/>
        <v/>
      </c>
      <c r="B687" s="33" t="str">
        <f t="shared" si="67"/>
        <v/>
      </c>
      <c r="C687" s="33" t="str">
        <f t="shared" si="68"/>
        <v/>
      </c>
      <c r="D687" s="34"/>
      <c r="E687" s="33" t="str">
        <f t="shared" si="69"/>
        <v/>
      </c>
      <c r="F687" s="33" t="str">
        <f t="shared" si="70"/>
        <v/>
      </c>
      <c r="G687" s="35"/>
      <c r="H687" s="35"/>
      <c r="I687" s="33"/>
      <c r="J687" s="33" t="str">
        <f t="shared" si="71"/>
        <v/>
      </c>
      <c r="K687" s="36"/>
      <c r="L687" s="37"/>
      <c r="M687" s="37"/>
      <c r="N687" s="37"/>
      <c r="O687" s="37"/>
      <c r="P687" s="37"/>
      <c r="Q687" s="37"/>
      <c r="R687" s="37"/>
      <c r="S687" s="37"/>
      <c r="T687" s="38"/>
      <c r="U687" s="40"/>
      <c r="V687" s="40"/>
      <c r="W687" s="40"/>
      <c r="X687" s="41"/>
      <c r="Y687" s="37"/>
      <c r="Z687" s="37"/>
      <c r="AA687" s="37"/>
      <c r="AB687" s="37"/>
      <c r="AC687" s="37"/>
      <c r="AD687" s="40"/>
      <c r="AE687" s="40"/>
      <c r="AF687" s="40"/>
      <c r="AG687" s="42"/>
      <c r="AH687" s="36"/>
      <c r="AI687" s="36"/>
    </row>
    <row r="688" spans="1:35" x14ac:dyDescent="0.3">
      <c r="A688" s="32" t="str">
        <f t="shared" si="66"/>
        <v/>
      </c>
      <c r="B688" s="33" t="str">
        <f t="shared" si="67"/>
        <v/>
      </c>
      <c r="C688" s="33" t="str">
        <f t="shared" si="68"/>
        <v/>
      </c>
      <c r="D688" s="34"/>
      <c r="E688" s="33" t="str">
        <f t="shared" si="69"/>
        <v/>
      </c>
      <c r="F688" s="33" t="str">
        <f t="shared" si="70"/>
        <v/>
      </c>
      <c r="G688" s="35"/>
      <c r="H688" s="35"/>
      <c r="I688" s="33"/>
      <c r="J688" s="33" t="str">
        <f t="shared" si="71"/>
        <v/>
      </c>
      <c r="K688" s="36"/>
      <c r="L688" s="37"/>
      <c r="M688" s="37"/>
      <c r="N688" s="37"/>
      <c r="O688" s="37"/>
      <c r="P688" s="37"/>
      <c r="Q688" s="37"/>
      <c r="R688" s="37"/>
      <c r="S688" s="37"/>
      <c r="T688" s="38"/>
      <c r="U688" s="40"/>
      <c r="V688" s="40"/>
      <c r="W688" s="40"/>
      <c r="X688" s="41"/>
      <c r="Y688" s="37"/>
      <c r="Z688" s="37"/>
      <c r="AA688" s="37"/>
      <c r="AB688" s="37"/>
      <c r="AC688" s="37"/>
      <c r="AD688" s="40"/>
      <c r="AE688" s="40"/>
      <c r="AF688" s="40"/>
      <c r="AG688" s="42"/>
      <c r="AH688" s="36"/>
      <c r="AI688" s="36"/>
    </row>
    <row r="689" spans="1:35" x14ac:dyDescent="0.3">
      <c r="A689" s="32" t="str">
        <f t="shared" si="66"/>
        <v/>
      </c>
      <c r="B689" s="33" t="str">
        <f t="shared" si="67"/>
        <v/>
      </c>
      <c r="C689" s="33" t="str">
        <f t="shared" si="68"/>
        <v/>
      </c>
      <c r="D689" s="34"/>
      <c r="E689" s="33" t="str">
        <f t="shared" si="69"/>
        <v/>
      </c>
      <c r="F689" s="33" t="str">
        <f t="shared" si="70"/>
        <v/>
      </c>
      <c r="G689" s="35"/>
      <c r="H689" s="35"/>
      <c r="I689" s="33"/>
      <c r="J689" s="33" t="str">
        <f t="shared" si="71"/>
        <v/>
      </c>
      <c r="K689" s="36"/>
      <c r="L689" s="37"/>
      <c r="M689" s="37"/>
      <c r="N689" s="37"/>
      <c r="O689" s="37"/>
      <c r="P689" s="37"/>
      <c r="Q689" s="37"/>
      <c r="R689" s="37"/>
      <c r="S689" s="37"/>
      <c r="T689" s="38"/>
      <c r="U689" s="40"/>
      <c r="V689" s="40"/>
      <c r="W689" s="40"/>
      <c r="X689" s="41"/>
      <c r="Y689" s="37"/>
      <c r="Z689" s="37"/>
      <c r="AA689" s="37"/>
      <c r="AB689" s="37"/>
      <c r="AC689" s="37"/>
      <c r="AD689" s="40"/>
      <c r="AE689" s="40"/>
      <c r="AF689" s="40"/>
      <c r="AG689" s="42"/>
      <c r="AH689" s="36"/>
      <c r="AI689" s="36"/>
    </row>
    <row r="690" spans="1:35" x14ac:dyDescent="0.3">
      <c r="A690" s="32" t="str">
        <f t="shared" si="66"/>
        <v/>
      </c>
      <c r="B690" s="33" t="str">
        <f t="shared" si="67"/>
        <v/>
      </c>
      <c r="C690" s="33" t="str">
        <f t="shared" si="68"/>
        <v/>
      </c>
      <c r="D690" s="34"/>
      <c r="E690" s="33" t="str">
        <f t="shared" si="69"/>
        <v/>
      </c>
      <c r="F690" s="33" t="str">
        <f t="shared" si="70"/>
        <v/>
      </c>
      <c r="G690" s="35"/>
      <c r="H690" s="35"/>
      <c r="I690" s="33"/>
      <c r="J690" s="33" t="str">
        <f t="shared" si="71"/>
        <v/>
      </c>
      <c r="K690" s="36"/>
      <c r="L690" s="37"/>
      <c r="M690" s="37"/>
      <c r="N690" s="37"/>
      <c r="O690" s="37"/>
      <c r="P690" s="37"/>
      <c r="Q690" s="37"/>
      <c r="R690" s="37"/>
      <c r="S690" s="37"/>
      <c r="T690" s="38"/>
      <c r="U690" s="40"/>
      <c r="V690" s="40"/>
      <c r="W690" s="40"/>
      <c r="X690" s="41"/>
      <c r="Y690" s="37"/>
      <c r="Z690" s="37"/>
      <c r="AA690" s="37"/>
      <c r="AB690" s="37"/>
      <c r="AC690" s="37"/>
      <c r="AD690" s="40"/>
      <c r="AE690" s="40"/>
      <c r="AF690" s="40"/>
      <c r="AG690" s="42"/>
      <c r="AH690" s="36"/>
      <c r="AI690" s="36"/>
    </row>
    <row r="691" spans="1:35" x14ac:dyDescent="0.3">
      <c r="A691" s="32" t="str">
        <f t="shared" si="66"/>
        <v/>
      </c>
      <c r="B691" s="33" t="str">
        <f t="shared" si="67"/>
        <v/>
      </c>
      <c r="C691" s="33" t="str">
        <f t="shared" si="68"/>
        <v/>
      </c>
      <c r="D691" s="34"/>
      <c r="E691" s="33" t="str">
        <f t="shared" si="69"/>
        <v/>
      </c>
      <c r="F691" s="33" t="str">
        <f t="shared" si="70"/>
        <v/>
      </c>
      <c r="G691" s="35"/>
      <c r="H691" s="35"/>
      <c r="I691" s="33"/>
      <c r="J691" s="33" t="str">
        <f t="shared" si="71"/>
        <v/>
      </c>
      <c r="K691" s="36"/>
      <c r="L691" s="37"/>
      <c r="M691" s="37"/>
      <c r="N691" s="37"/>
      <c r="O691" s="37"/>
      <c r="P691" s="37"/>
      <c r="Q691" s="37"/>
      <c r="R691" s="37"/>
      <c r="S691" s="37"/>
      <c r="T691" s="38"/>
      <c r="U691" s="40"/>
      <c r="V691" s="40"/>
      <c r="W691" s="40"/>
      <c r="X691" s="41"/>
      <c r="Y691" s="37"/>
      <c r="Z691" s="37"/>
      <c r="AA691" s="37"/>
      <c r="AB691" s="37"/>
      <c r="AC691" s="37"/>
      <c r="AD691" s="40"/>
      <c r="AE691" s="40"/>
      <c r="AF691" s="40"/>
      <c r="AG691" s="42"/>
      <c r="AH691" s="36"/>
      <c r="AI691" s="36"/>
    </row>
    <row r="692" spans="1:35" x14ac:dyDescent="0.3">
      <c r="A692" s="32" t="str">
        <f t="shared" si="66"/>
        <v/>
      </c>
      <c r="B692" s="33" t="str">
        <f t="shared" si="67"/>
        <v/>
      </c>
      <c r="C692" s="33" t="str">
        <f t="shared" si="68"/>
        <v/>
      </c>
      <c r="D692" s="34"/>
      <c r="E692" s="33" t="str">
        <f t="shared" si="69"/>
        <v/>
      </c>
      <c r="F692" s="33" t="str">
        <f t="shared" si="70"/>
        <v/>
      </c>
      <c r="G692" s="35"/>
      <c r="H692" s="35"/>
      <c r="I692" s="33"/>
      <c r="J692" s="33" t="str">
        <f t="shared" si="71"/>
        <v/>
      </c>
      <c r="K692" s="36"/>
      <c r="L692" s="37"/>
      <c r="M692" s="37"/>
      <c r="N692" s="37"/>
      <c r="O692" s="37"/>
      <c r="P692" s="37"/>
      <c r="Q692" s="37"/>
      <c r="R692" s="37"/>
      <c r="S692" s="37"/>
      <c r="T692" s="38"/>
      <c r="U692" s="40"/>
      <c r="V692" s="40"/>
      <c r="W692" s="40"/>
      <c r="X692" s="41"/>
      <c r="Y692" s="37"/>
      <c r="Z692" s="37"/>
      <c r="AA692" s="37"/>
      <c r="AB692" s="37"/>
      <c r="AC692" s="37"/>
      <c r="AD692" s="40"/>
      <c r="AE692" s="40"/>
      <c r="AF692" s="40"/>
      <c r="AG692" s="42"/>
      <c r="AH692" s="36"/>
      <c r="AI692" s="36"/>
    </row>
    <row r="693" spans="1:35" x14ac:dyDescent="0.3">
      <c r="A693" s="32" t="str">
        <f t="shared" si="66"/>
        <v/>
      </c>
      <c r="B693" s="33" t="str">
        <f t="shared" si="67"/>
        <v/>
      </c>
      <c r="C693" s="33" t="str">
        <f t="shared" si="68"/>
        <v/>
      </c>
      <c r="D693" s="34"/>
      <c r="E693" s="33" t="str">
        <f t="shared" si="69"/>
        <v/>
      </c>
      <c r="F693" s="33" t="str">
        <f t="shared" si="70"/>
        <v/>
      </c>
      <c r="G693" s="35"/>
      <c r="H693" s="35"/>
      <c r="I693" s="33"/>
      <c r="J693" s="33" t="str">
        <f t="shared" si="71"/>
        <v/>
      </c>
      <c r="K693" s="36"/>
      <c r="L693" s="37"/>
      <c r="M693" s="37"/>
      <c r="N693" s="37"/>
      <c r="O693" s="37"/>
      <c r="P693" s="37"/>
      <c r="Q693" s="37"/>
      <c r="R693" s="37"/>
      <c r="S693" s="37"/>
      <c r="T693" s="38"/>
      <c r="U693" s="40"/>
      <c r="V693" s="40"/>
      <c r="W693" s="40"/>
      <c r="X693" s="41"/>
      <c r="Y693" s="37"/>
      <c r="Z693" s="37"/>
      <c r="AA693" s="37"/>
      <c r="AB693" s="37"/>
      <c r="AC693" s="37"/>
      <c r="AD693" s="40"/>
      <c r="AE693" s="40"/>
      <c r="AF693" s="40"/>
      <c r="AG693" s="42"/>
      <c r="AH693" s="36"/>
      <c r="AI693" s="36"/>
    </row>
    <row r="694" spans="1:35" x14ac:dyDescent="0.3">
      <c r="A694" s="32" t="str">
        <f t="shared" si="66"/>
        <v/>
      </c>
      <c r="B694" s="33" t="str">
        <f t="shared" si="67"/>
        <v/>
      </c>
      <c r="C694" s="33" t="str">
        <f t="shared" si="68"/>
        <v/>
      </c>
      <c r="D694" s="34"/>
      <c r="E694" s="33" t="str">
        <f t="shared" si="69"/>
        <v/>
      </c>
      <c r="F694" s="33" t="str">
        <f t="shared" si="70"/>
        <v/>
      </c>
      <c r="G694" s="35"/>
      <c r="H694" s="35"/>
      <c r="I694" s="33"/>
      <c r="J694" s="33" t="str">
        <f t="shared" si="71"/>
        <v/>
      </c>
      <c r="K694" s="36"/>
      <c r="L694" s="37"/>
      <c r="M694" s="37"/>
      <c r="N694" s="37"/>
      <c r="O694" s="37"/>
      <c r="P694" s="37"/>
      <c r="Q694" s="37"/>
      <c r="R694" s="37"/>
      <c r="S694" s="37"/>
      <c r="T694" s="38"/>
      <c r="U694" s="40"/>
      <c r="V694" s="40"/>
      <c r="W694" s="40"/>
      <c r="X694" s="41"/>
      <c r="Y694" s="37"/>
      <c r="Z694" s="37"/>
      <c r="AA694" s="37"/>
      <c r="AB694" s="37"/>
      <c r="AC694" s="37"/>
      <c r="AD694" s="40"/>
      <c r="AE694" s="40"/>
      <c r="AF694" s="40"/>
      <c r="AG694" s="42"/>
      <c r="AH694" s="36"/>
      <c r="AI694" s="36"/>
    </row>
    <row r="695" spans="1:35" x14ac:dyDescent="0.3">
      <c r="A695" s="32" t="str">
        <f t="shared" si="66"/>
        <v/>
      </c>
      <c r="B695" s="33" t="str">
        <f t="shared" si="67"/>
        <v/>
      </c>
      <c r="C695" s="33" t="str">
        <f t="shared" si="68"/>
        <v/>
      </c>
      <c r="D695" s="34"/>
      <c r="E695" s="33" t="str">
        <f t="shared" si="69"/>
        <v/>
      </c>
      <c r="F695" s="33" t="str">
        <f t="shared" si="70"/>
        <v/>
      </c>
      <c r="G695" s="35"/>
      <c r="H695" s="35"/>
      <c r="I695" s="33"/>
      <c r="J695" s="33" t="str">
        <f t="shared" si="71"/>
        <v/>
      </c>
      <c r="K695" s="36"/>
      <c r="L695" s="37"/>
      <c r="M695" s="37"/>
      <c r="N695" s="37"/>
      <c r="O695" s="37"/>
      <c r="P695" s="37"/>
      <c r="Q695" s="37"/>
      <c r="R695" s="37"/>
      <c r="S695" s="37"/>
      <c r="T695" s="38"/>
      <c r="U695" s="40"/>
      <c r="V695" s="40"/>
      <c r="W695" s="40"/>
      <c r="X695" s="41"/>
      <c r="Y695" s="37"/>
      <c r="Z695" s="37"/>
      <c r="AA695" s="37"/>
      <c r="AB695" s="37"/>
      <c r="AC695" s="37"/>
      <c r="AD695" s="40"/>
      <c r="AE695" s="40"/>
      <c r="AF695" s="40"/>
      <c r="AG695" s="42"/>
      <c r="AH695" s="36"/>
      <c r="AI695" s="36"/>
    </row>
    <row r="696" spans="1:35" x14ac:dyDescent="0.3">
      <c r="A696" s="32" t="str">
        <f t="shared" si="66"/>
        <v/>
      </c>
      <c r="B696" s="33" t="str">
        <f t="shared" si="67"/>
        <v/>
      </c>
      <c r="C696" s="33" t="str">
        <f t="shared" si="68"/>
        <v/>
      </c>
      <c r="D696" s="34"/>
      <c r="E696" s="33" t="str">
        <f t="shared" si="69"/>
        <v/>
      </c>
      <c r="F696" s="33" t="str">
        <f t="shared" si="70"/>
        <v/>
      </c>
      <c r="G696" s="35"/>
      <c r="H696" s="35"/>
      <c r="I696" s="33"/>
      <c r="J696" s="33" t="str">
        <f t="shared" si="71"/>
        <v/>
      </c>
      <c r="K696" s="36"/>
      <c r="L696" s="37"/>
      <c r="M696" s="37"/>
      <c r="N696" s="37"/>
      <c r="O696" s="37"/>
      <c r="P696" s="37"/>
      <c r="Q696" s="37"/>
      <c r="R696" s="37"/>
      <c r="S696" s="37"/>
      <c r="T696" s="38"/>
      <c r="U696" s="40"/>
      <c r="V696" s="40"/>
      <c r="W696" s="40"/>
      <c r="X696" s="41"/>
      <c r="Y696" s="37"/>
      <c r="Z696" s="37"/>
      <c r="AA696" s="37"/>
      <c r="AB696" s="37"/>
      <c r="AC696" s="37"/>
      <c r="AD696" s="40"/>
      <c r="AE696" s="40"/>
      <c r="AF696" s="40"/>
      <c r="AG696" s="42"/>
      <c r="AH696" s="36"/>
      <c r="AI696" s="36"/>
    </row>
    <row r="697" spans="1:35" x14ac:dyDescent="0.3">
      <c r="A697" s="32" t="str">
        <f t="shared" si="66"/>
        <v/>
      </c>
      <c r="B697" s="33" t="str">
        <f t="shared" si="67"/>
        <v/>
      </c>
      <c r="C697" s="33" t="str">
        <f t="shared" si="68"/>
        <v/>
      </c>
      <c r="D697" s="34"/>
      <c r="E697" s="33" t="str">
        <f t="shared" si="69"/>
        <v/>
      </c>
      <c r="F697" s="33" t="str">
        <f t="shared" si="70"/>
        <v/>
      </c>
      <c r="G697" s="35"/>
      <c r="H697" s="35"/>
      <c r="I697" s="33"/>
      <c r="J697" s="33" t="str">
        <f t="shared" si="71"/>
        <v/>
      </c>
      <c r="K697" s="36"/>
      <c r="L697" s="37"/>
      <c r="M697" s="37"/>
      <c r="N697" s="37"/>
      <c r="O697" s="37"/>
      <c r="P697" s="37"/>
      <c r="Q697" s="37"/>
      <c r="R697" s="37"/>
      <c r="S697" s="37"/>
      <c r="T697" s="38"/>
      <c r="U697" s="40"/>
      <c r="V697" s="40"/>
      <c r="W697" s="40"/>
      <c r="X697" s="41"/>
      <c r="Y697" s="37"/>
      <c r="Z697" s="37"/>
      <c r="AA697" s="37"/>
      <c r="AB697" s="37"/>
      <c r="AC697" s="37"/>
      <c r="AD697" s="40"/>
      <c r="AE697" s="40"/>
      <c r="AF697" s="40"/>
      <c r="AG697" s="42"/>
      <c r="AH697" s="36"/>
      <c r="AI697" s="36"/>
    </row>
    <row r="698" spans="1:35" x14ac:dyDescent="0.3">
      <c r="A698" s="32" t="str">
        <f t="shared" si="66"/>
        <v/>
      </c>
      <c r="B698" s="33" t="str">
        <f t="shared" si="67"/>
        <v/>
      </c>
      <c r="C698" s="33" t="str">
        <f t="shared" si="68"/>
        <v/>
      </c>
      <c r="D698" s="34"/>
      <c r="E698" s="33" t="str">
        <f t="shared" si="69"/>
        <v/>
      </c>
      <c r="F698" s="33" t="str">
        <f t="shared" si="70"/>
        <v/>
      </c>
      <c r="G698" s="35"/>
      <c r="H698" s="35"/>
      <c r="I698" s="33"/>
      <c r="J698" s="33" t="str">
        <f t="shared" si="71"/>
        <v/>
      </c>
      <c r="K698" s="36"/>
      <c r="L698" s="37"/>
      <c r="M698" s="37"/>
      <c r="N698" s="37"/>
      <c r="O698" s="37"/>
      <c r="P698" s="37"/>
      <c r="Q698" s="37"/>
      <c r="R698" s="37"/>
      <c r="S698" s="37"/>
      <c r="T698" s="38"/>
      <c r="U698" s="40"/>
      <c r="V698" s="40"/>
      <c r="W698" s="40"/>
      <c r="X698" s="41"/>
      <c r="Y698" s="37"/>
      <c r="Z698" s="37"/>
      <c r="AA698" s="37"/>
      <c r="AB698" s="37"/>
      <c r="AC698" s="37"/>
      <c r="AD698" s="40"/>
      <c r="AE698" s="40"/>
      <c r="AF698" s="40"/>
      <c r="AG698" s="42"/>
      <c r="AH698" s="36"/>
      <c r="AI698" s="36"/>
    </row>
    <row r="699" spans="1:35" x14ac:dyDescent="0.3">
      <c r="A699" s="32" t="str">
        <f t="shared" si="66"/>
        <v/>
      </c>
      <c r="B699" s="33" t="str">
        <f t="shared" si="67"/>
        <v/>
      </c>
      <c r="C699" s="33" t="str">
        <f t="shared" si="68"/>
        <v/>
      </c>
      <c r="D699" s="34"/>
      <c r="E699" s="33" t="str">
        <f t="shared" si="69"/>
        <v/>
      </c>
      <c r="F699" s="33" t="str">
        <f t="shared" si="70"/>
        <v/>
      </c>
      <c r="G699" s="35"/>
      <c r="H699" s="35"/>
      <c r="I699" s="33"/>
      <c r="J699" s="33" t="str">
        <f t="shared" si="71"/>
        <v/>
      </c>
      <c r="K699" s="36"/>
      <c r="L699" s="37"/>
      <c r="M699" s="37"/>
      <c r="N699" s="37"/>
      <c r="O699" s="37"/>
      <c r="P699" s="37"/>
      <c r="Q699" s="37"/>
      <c r="R699" s="37"/>
      <c r="S699" s="37"/>
      <c r="T699" s="38"/>
      <c r="U699" s="40"/>
      <c r="V699" s="40"/>
      <c r="W699" s="40"/>
      <c r="X699" s="41"/>
      <c r="Y699" s="37"/>
      <c r="Z699" s="37"/>
      <c r="AA699" s="37"/>
      <c r="AB699" s="37"/>
      <c r="AC699" s="37"/>
      <c r="AD699" s="40"/>
      <c r="AE699" s="40"/>
      <c r="AF699" s="40"/>
      <c r="AG699" s="42"/>
      <c r="AH699" s="36"/>
      <c r="AI699" s="36"/>
    </row>
    <row r="700" spans="1:35" x14ac:dyDescent="0.3">
      <c r="A700" s="32" t="str">
        <f t="shared" si="66"/>
        <v/>
      </c>
      <c r="B700" s="33" t="str">
        <f t="shared" si="67"/>
        <v/>
      </c>
      <c r="C700" s="33" t="str">
        <f t="shared" si="68"/>
        <v/>
      </c>
      <c r="D700" s="34"/>
      <c r="E700" s="33" t="str">
        <f t="shared" si="69"/>
        <v/>
      </c>
      <c r="F700" s="33" t="str">
        <f t="shared" si="70"/>
        <v/>
      </c>
      <c r="G700" s="35"/>
      <c r="H700" s="35"/>
      <c r="I700" s="33"/>
      <c r="J700" s="33" t="str">
        <f t="shared" si="71"/>
        <v/>
      </c>
      <c r="K700" s="36"/>
      <c r="L700" s="37"/>
      <c r="M700" s="37"/>
      <c r="N700" s="37"/>
      <c r="O700" s="37"/>
      <c r="P700" s="37"/>
      <c r="Q700" s="37"/>
      <c r="R700" s="37"/>
      <c r="S700" s="37"/>
      <c r="T700" s="38"/>
      <c r="U700" s="40"/>
      <c r="V700" s="40"/>
      <c r="W700" s="40"/>
      <c r="X700" s="41"/>
      <c r="Y700" s="37"/>
      <c r="Z700" s="37"/>
      <c r="AA700" s="37"/>
      <c r="AB700" s="37"/>
      <c r="AC700" s="37"/>
      <c r="AD700" s="40"/>
      <c r="AE700" s="40"/>
      <c r="AF700" s="40"/>
      <c r="AG700" s="42"/>
      <c r="AH700" s="36"/>
      <c r="AI700" s="36"/>
    </row>
    <row r="701" spans="1:35" x14ac:dyDescent="0.3">
      <c r="A701" s="32" t="str">
        <f t="shared" si="66"/>
        <v/>
      </c>
      <c r="B701" s="33" t="str">
        <f t="shared" si="67"/>
        <v/>
      </c>
      <c r="C701" s="33" t="str">
        <f t="shared" si="68"/>
        <v/>
      </c>
      <c r="D701" s="34"/>
      <c r="E701" s="33" t="str">
        <f t="shared" si="69"/>
        <v/>
      </c>
      <c r="F701" s="33" t="str">
        <f t="shared" si="70"/>
        <v/>
      </c>
      <c r="G701" s="35"/>
      <c r="H701" s="35"/>
      <c r="I701" s="33"/>
      <c r="J701" s="33" t="str">
        <f t="shared" si="71"/>
        <v/>
      </c>
      <c r="K701" s="36"/>
      <c r="L701" s="37"/>
      <c r="M701" s="37"/>
      <c r="N701" s="37"/>
      <c r="O701" s="37"/>
      <c r="P701" s="37"/>
      <c r="Q701" s="37"/>
      <c r="R701" s="37"/>
      <c r="S701" s="37"/>
      <c r="T701" s="38"/>
      <c r="U701" s="40"/>
      <c r="V701" s="40"/>
      <c r="W701" s="40"/>
      <c r="X701" s="41"/>
      <c r="Y701" s="37"/>
      <c r="Z701" s="37"/>
      <c r="AA701" s="37"/>
      <c r="AB701" s="37"/>
      <c r="AC701" s="37"/>
      <c r="AD701" s="40"/>
      <c r="AE701" s="40"/>
      <c r="AF701" s="40"/>
      <c r="AG701" s="42"/>
      <c r="AH701" s="36"/>
      <c r="AI701" s="36"/>
    </row>
    <row r="702" spans="1:35" x14ac:dyDescent="0.3">
      <c r="A702" s="32" t="str">
        <f t="shared" si="66"/>
        <v/>
      </c>
      <c r="B702" s="33" t="str">
        <f t="shared" si="67"/>
        <v/>
      </c>
      <c r="C702" s="33" t="str">
        <f t="shared" si="68"/>
        <v/>
      </c>
      <c r="D702" s="34"/>
      <c r="E702" s="33" t="str">
        <f t="shared" si="69"/>
        <v/>
      </c>
      <c r="F702" s="33" t="str">
        <f t="shared" si="70"/>
        <v/>
      </c>
      <c r="G702" s="35"/>
      <c r="H702" s="35"/>
      <c r="I702" s="33"/>
      <c r="J702" s="33" t="str">
        <f t="shared" si="71"/>
        <v/>
      </c>
      <c r="K702" s="36"/>
      <c r="L702" s="37"/>
      <c r="M702" s="37"/>
      <c r="N702" s="37"/>
      <c r="O702" s="37"/>
      <c r="P702" s="37"/>
      <c r="Q702" s="37"/>
      <c r="R702" s="37"/>
      <c r="S702" s="37"/>
      <c r="T702" s="38"/>
      <c r="U702" s="40"/>
      <c r="V702" s="40"/>
      <c r="W702" s="40"/>
      <c r="X702" s="41"/>
      <c r="Y702" s="37"/>
      <c r="Z702" s="37"/>
      <c r="AA702" s="37"/>
      <c r="AB702" s="37"/>
      <c r="AC702" s="37"/>
      <c r="AD702" s="40"/>
      <c r="AE702" s="40"/>
      <c r="AF702" s="40"/>
      <c r="AG702" s="42"/>
      <c r="AH702" s="36"/>
      <c r="AI702" s="36"/>
    </row>
    <row r="703" spans="1:35" x14ac:dyDescent="0.3">
      <c r="A703" s="32" t="str">
        <f t="shared" si="66"/>
        <v/>
      </c>
      <c r="B703" s="33" t="str">
        <f t="shared" si="67"/>
        <v/>
      </c>
      <c r="C703" s="33" t="str">
        <f t="shared" si="68"/>
        <v/>
      </c>
      <c r="D703" s="34"/>
      <c r="E703" s="33" t="str">
        <f t="shared" si="69"/>
        <v/>
      </c>
      <c r="F703" s="33" t="str">
        <f t="shared" si="70"/>
        <v/>
      </c>
      <c r="G703" s="35"/>
      <c r="H703" s="35"/>
      <c r="I703" s="33"/>
      <c r="J703" s="33" t="str">
        <f t="shared" si="71"/>
        <v/>
      </c>
      <c r="K703" s="36"/>
      <c r="L703" s="37"/>
      <c r="M703" s="37"/>
      <c r="N703" s="37"/>
      <c r="O703" s="37"/>
      <c r="P703" s="37"/>
      <c r="Q703" s="37"/>
      <c r="R703" s="37"/>
      <c r="S703" s="37"/>
      <c r="T703" s="38"/>
      <c r="U703" s="40"/>
      <c r="V703" s="40"/>
      <c r="W703" s="40"/>
      <c r="X703" s="41"/>
      <c r="Y703" s="37"/>
      <c r="Z703" s="37"/>
      <c r="AA703" s="37"/>
      <c r="AB703" s="37"/>
      <c r="AC703" s="37"/>
      <c r="AD703" s="40"/>
      <c r="AE703" s="40"/>
      <c r="AF703" s="40"/>
      <c r="AG703" s="42"/>
      <c r="AH703" s="36"/>
      <c r="AI703" s="36"/>
    </row>
    <row r="704" spans="1:35" x14ac:dyDescent="0.3">
      <c r="A704" s="32" t="str">
        <f t="shared" si="66"/>
        <v/>
      </c>
      <c r="B704" s="33" t="str">
        <f t="shared" si="67"/>
        <v/>
      </c>
      <c r="C704" s="33" t="str">
        <f t="shared" si="68"/>
        <v/>
      </c>
      <c r="D704" s="34"/>
      <c r="E704" s="33" t="str">
        <f t="shared" si="69"/>
        <v/>
      </c>
      <c r="F704" s="33" t="str">
        <f t="shared" si="70"/>
        <v/>
      </c>
      <c r="G704" s="35"/>
      <c r="H704" s="35"/>
      <c r="I704" s="33"/>
      <c r="J704" s="33" t="str">
        <f t="shared" si="71"/>
        <v/>
      </c>
      <c r="K704" s="36"/>
      <c r="L704" s="37"/>
      <c r="M704" s="37"/>
      <c r="N704" s="37"/>
      <c r="O704" s="37"/>
      <c r="P704" s="37"/>
      <c r="Q704" s="37"/>
      <c r="R704" s="37"/>
      <c r="S704" s="37"/>
      <c r="T704" s="38"/>
      <c r="U704" s="40"/>
      <c r="V704" s="40"/>
      <c r="W704" s="40"/>
      <c r="X704" s="41"/>
      <c r="Y704" s="37"/>
      <c r="Z704" s="37"/>
      <c r="AA704" s="37"/>
      <c r="AB704" s="37"/>
      <c r="AC704" s="37"/>
      <c r="AD704" s="40"/>
      <c r="AE704" s="40"/>
      <c r="AF704" s="40"/>
      <c r="AG704" s="42"/>
      <c r="AH704" s="36"/>
      <c r="AI704" s="36"/>
    </row>
    <row r="705" spans="1:35" x14ac:dyDescent="0.3">
      <c r="A705" s="32" t="str">
        <f t="shared" si="66"/>
        <v/>
      </c>
      <c r="B705" s="33" t="str">
        <f t="shared" si="67"/>
        <v/>
      </c>
      <c r="C705" s="33" t="str">
        <f t="shared" si="68"/>
        <v/>
      </c>
      <c r="D705" s="34"/>
      <c r="E705" s="33" t="str">
        <f t="shared" si="69"/>
        <v/>
      </c>
      <c r="F705" s="33" t="str">
        <f t="shared" si="70"/>
        <v/>
      </c>
      <c r="G705" s="35"/>
      <c r="H705" s="35"/>
      <c r="I705" s="33"/>
      <c r="J705" s="33" t="str">
        <f t="shared" si="71"/>
        <v/>
      </c>
      <c r="K705" s="36"/>
      <c r="L705" s="37"/>
      <c r="M705" s="37"/>
      <c r="N705" s="37"/>
      <c r="O705" s="37"/>
      <c r="P705" s="37"/>
      <c r="Q705" s="37"/>
      <c r="R705" s="37"/>
      <c r="S705" s="37"/>
      <c r="T705" s="38"/>
      <c r="U705" s="40"/>
      <c r="V705" s="40"/>
      <c r="W705" s="40"/>
      <c r="X705" s="41"/>
      <c r="Y705" s="37"/>
      <c r="Z705" s="37"/>
      <c r="AA705" s="37"/>
      <c r="AB705" s="37"/>
      <c r="AC705" s="37"/>
      <c r="AD705" s="40"/>
      <c r="AE705" s="40"/>
      <c r="AF705" s="40"/>
      <c r="AG705" s="42"/>
      <c r="AH705" s="36"/>
      <c r="AI705" s="36"/>
    </row>
    <row r="706" spans="1:35" x14ac:dyDescent="0.3">
      <c r="A706" s="32" t="str">
        <f t="shared" si="66"/>
        <v/>
      </c>
      <c r="B706" s="33" t="str">
        <f t="shared" si="67"/>
        <v/>
      </c>
      <c r="C706" s="33" t="str">
        <f t="shared" si="68"/>
        <v/>
      </c>
      <c r="D706" s="34"/>
      <c r="E706" s="33" t="str">
        <f t="shared" si="69"/>
        <v/>
      </c>
      <c r="F706" s="33" t="str">
        <f t="shared" si="70"/>
        <v/>
      </c>
      <c r="G706" s="35"/>
      <c r="H706" s="35"/>
      <c r="I706" s="33"/>
      <c r="J706" s="33" t="str">
        <f t="shared" si="71"/>
        <v/>
      </c>
      <c r="K706" s="36"/>
      <c r="L706" s="37"/>
      <c r="M706" s="37"/>
      <c r="N706" s="37"/>
      <c r="O706" s="37"/>
      <c r="P706" s="37"/>
      <c r="Q706" s="37"/>
      <c r="R706" s="37"/>
      <c r="S706" s="37"/>
      <c r="T706" s="38"/>
      <c r="U706" s="40"/>
      <c r="V706" s="40"/>
      <c r="W706" s="40"/>
      <c r="X706" s="41"/>
      <c r="Y706" s="37"/>
      <c r="Z706" s="37"/>
      <c r="AA706" s="37"/>
      <c r="AB706" s="37"/>
      <c r="AC706" s="37"/>
      <c r="AD706" s="40"/>
      <c r="AE706" s="40"/>
      <c r="AF706" s="40"/>
      <c r="AG706" s="42"/>
      <c r="AH706" s="36"/>
      <c r="AI706" s="36"/>
    </row>
    <row r="707" spans="1:35" x14ac:dyDescent="0.3">
      <c r="A707" s="32" t="str">
        <f t="shared" si="66"/>
        <v/>
      </c>
      <c r="B707" s="33" t="str">
        <f t="shared" si="67"/>
        <v/>
      </c>
      <c r="C707" s="33" t="str">
        <f t="shared" si="68"/>
        <v/>
      </c>
      <c r="D707" s="34"/>
      <c r="E707" s="33" t="str">
        <f t="shared" si="69"/>
        <v/>
      </c>
      <c r="F707" s="33" t="str">
        <f t="shared" si="70"/>
        <v/>
      </c>
      <c r="G707" s="35"/>
      <c r="H707" s="35"/>
      <c r="I707" s="33"/>
      <c r="J707" s="33" t="str">
        <f t="shared" si="71"/>
        <v/>
      </c>
      <c r="K707" s="36"/>
      <c r="L707" s="37"/>
      <c r="M707" s="37"/>
      <c r="N707" s="37"/>
      <c r="O707" s="37"/>
      <c r="P707" s="37"/>
      <c r="Q707" s="37"/>
      <c r="R707" s="37"/>
      <c r="S707" s="37"/>
      <c r="T707" s="38"/>
      <c r="U707" s="40"/>
      <c r="V707" s="40"/>
      <c r="W707" s="40"/>
      <c r="X707" s="41"/>
      <c r="Y707" s="37"/>
      <c r="Z707" s="37"/>
      <c r="AA707" s="37"/>
      <c r="AB707" s="37"/>
      <c r="AC707" s="37"/>
      <c r="AD707" s="40"/>
      <c r="AE707" s="40"/>
      <c r="AF707" s="40"/>
      <c r="AG707" s="42"/>
      <c r="AH707" s="36"/>
      <c r="AI707" s="36"/>
    </row>
    <row r="708" spans="1:35" x14ac:dyDescent="0.3">
      <c r="A708" s="32" t="str">
        <f t="shared" si="66"/>
        <v/>
      </c>
      <c r="B708" s="33" t="str">
        <f t="shared" si="67"/>
        <v/>
      </c>
      <c r="C708" s="33" t="str">
        <f t="shared" si="68"/>
        <v/>
      </c>
      <c r="D708" s="34"/>
      <c r="E708" s="33" t="str">
        <f t="shared" si="69"/>
        <v/>
      </c>
      <c r="F708" s="33" t="str">
        <f t="shared" si="70"/>
        <v/>
      </c>
      <c r="G708" s="35"/>
      <c r="H708" s="35"/>
      <c r="I708" s="33"/>
      <c r="J708" s="33" t="str">
        <f t="shared" si="71"/>
        <v/>
      </c>
      <c r="K708" s="36"/>
      <c r="L708" s="37"/>
      <c r="M708" s="37"/>
      <c r="N708" s="37"/>
      <c r="O708" s="37"/>
      <c r="P708" s="37"/>
      <c r="Q708" s="37"/>
      <c r="R708" s="37"/>
      <c r="S708" s="37"/>
      <c r="T708" s="38"/>
      <c r="U708" s="40"/>
      <c r="V708" s="40"/>
      <c r="W708" s="40"/>
      <c r="X708" s="41"/>
      <c r="Y708" s="37"/>
      <c r="Z708" s="37"/>
      <c r="AA708" s="37"/>
      <c r="AB708" s="37"/>
      <c r="AC708" s="37"/>
      <c r="AD708" s="40"/>
      <c r="AE708" s="40"/>
      <c r="AF708" s="40"/>
      <c r="AG708" s="42"/>
      <c r="AH708" s="36"/>
      <c r="AI708" s="36"/>
    </row>
    <row r="709" spans="1:35" x14ac:dyDescent="0.3">
      <c r="A709" s="32" t="str">
        <f t="shared" si="66"/>
        <v/>
      </c>
      <c r="B709" s="33" t="str">
        <f t="shared" si="67"/>
        <v/>
      </c>
      <c r="C709" s="33" t="str">
        <f t="shared" si="68"/>
        <v/>
      </c>
      <c r="D709" s="34"/>
      <c r="E709" s="33" t="str">
        <f t="shared" si="69"/>
        <v/>
      </c>
      <c r="F709" s="33" t="str">
        <f t="shared" si="70"/>
        <v/>
      </c>
      <c r="G709" s="35"/>
      <c r="H709" s="35"/>
      <c r="I709" s="33"/>
      <c r="J709" s="33" t="str">
        <f t="shared" si="71"/>
        <v/>
      </c>
      <c r="K709" s="36"/>
      <c r="L709" s="37"/>
      <c r="M709" s="37"/>
      <c r="N709" s="37"/>
      <c r="O709" s="37"/>
      <c r="P709" s="37"/>
      <c r="Q709" s="37"/>
      <c r="R709" s="37"/>
      <c r="S709" s="37"/>
      <c r="T709" s="38"/>
      <c r="U709" s="40"/>
      <c r="V709" s="40"/>
      <c r="W709" s="40"/>
      <c r="X709" s="41"/>
      <c r="Y709" s="37"/>
      <c r="Z709" s="37"/>
      <c r="AA709" s="37"/>
      <c r="AB709" s="37"/>
      <c r="AC709" s="37"/>
      <c r="AD709" s="40"/>
      <c r="AE709" s="40"/>
      <c r="AF709" s="40"/>
      <c r="AG709" s="42"/>
      <c r="AH709" s="36"/>
      <c r="AI709" s="36"/>
    </row>
    <row r="710" spans="1:35" x14ac:dyDescent="0.3">
      <c r="A710" s="32" t="str">
        <f t="shared" si="66"/>
        <v/>
      </c>
      <c r="B710" s="33" t="str">
        <f t="shared" si="67"/>
        <v/>
      </c>
      <c r="C710" s="33" t="str">
        <f t="shared" si="68"/>
        <v/>
      </c>
      <c r="D710" s="34"/>
      <c r="E710" s="33" t="str">
        <f t="shared" si="69"/>
        <v/>
      </c>
      <c r="F710" s="33" t="str">
        <f t="shared" si="70"/>
        <v/>
      </c>
      <c r="G710" s="35"/>
      <c r="H710" s="35"/>
      <c r="I710" s="33"/>
      <c r="J710" s="33" t="str">
        <f t="shared" si="71"/>
        <v/>
      </c>
      <c r="K710" s="36"/>
      <c r="L710" s="37"/>
      <c r="M710" s="37"/>
      <c r="N710" s="37"/>
      <c r="O710" s="37"/>
      <c r="P710" s="37"/>
      <c r="Q710" s="37"/>
      <c r="R710" s="37"/>
      <c r="S710" s="37"/>
      <c r="T710" s="38"/>
      <c r="U710" s="40"/>
      <c r="V710" s="40"/>
      <c r="W710" s="40"/>
      <c r="X710" s="41"/>
      <c r="Y710" s="37"/>
      <c r="Z710" s="37"/>
      <c r="AA710" s="37"/>
      <c r="AB710" s="37"/>
      <c r="AC710" s="37"/>
      <c r="AD710" s="40"/>
      <c r="AE710" s="40"/>
      <c r="AF710" s="40"/>
      <c r="AG710" s="42"/>
      <c r="AH710" s="36"/>
      <c r="AI710" s="36"/>
    </row>
    <row r="711" spans="1:35" x14ac:dyDescent="0.3">
      <c r="A711" s="32" t="str">
        <f t="shared" si="66"/>
        <v/>
      </c>
      <c r="B711" s="33" t="str">
        <f t="shared" si="67"/>
        <v/>
      </c>
      <c r="C711" s="33" t="str">
        <f t="shared" si="68"/>
        <v/>
      </c>
      <c r="D711" s="34"/>
      <c r="E711" s="33" t="str">
        <f t="shared" si="69"/>
        <v/>
      </c>
      <c r="F711" s="33" t="str">
        <f t="shared" si="70"/>
        <v/>
      </c>
      <c r="G711" s="35"/>
      <c r="H711" s="35"/>
      <c r="I711" s="33"/>
      <c r="J711" s="33" t="str">
        <f t="shared" si="71"/>
        <v/>
      </c>
      <c r="K711" s="36"/>
      <c r="L711" s="37"/>
      <c r="M711" s="37"/>
      <c r="N711" s="37"/>
      <c r="O711" s="37"/>
      <c r="P711" s="37"/>
      <c r="Q711" s="37"/>
      <c r="R711" s="37"/>
      <c r="S711" s="37"/>
      <c r="T711" s="38"/>
      <c r="U711" s="40"/>
      <c r="V711" s="40"/>
      <c r="W711" s="40"/>
      <c r="X711" s="41"/>
      <c r="Y711" s="37"/>
      <c r="Z711" s="37"/>
      <c r="AA711" s="37"/>
      <c r="AB711" s="37"/>
      <c r="AC711" s="37"/>
      <c r="AD711" s="40"/>
      <c r="AE711" s="40"/>
      <c r="AF711" s="40"/>
      <c r="AG711" s="42"/>
      <c r="AH711" s="36"/>
      <c r="AI711" s="36"/>
    </row>
    <row r="712" spans="1:35" x14ac:dyDescent="0.3">
      <c r="A712" s="32" t="str">
        <f t="shared" si="66"/>
        <v/>
      </c>
      <c r="B712" s="33" t="str">
        <f t="shared" si="67"/>
        <v/>
      </c>
      <c r="C712" s="33" t="str">
        <f t="shared" si="68"/>
        <v/>
      </c>
      <c r="D712" s="34"/>
      <c r="E712" s="33" t="str">
        <f t="shared" si="69"/>
        <v/>
      </c>
      <c r="F712" s="33" t="str">
        <f t="shared" si="70"/>
        <v/>
      </c>
      <c r="G712" s="35"/>
      <c r="H712" s="35"/>
      <c r="I712" s="33"/>
      <c r="J712" s="33" t="str">
        <f t="shared" si="71"/>
        <v/>
      </c>
      <c r="K712" s="36"/>
      <c r="L712" s="37"/>
      <c r="M712" s="37"/>
      <c r="N712" s="37"/>
      <c r="O712" s="37"/>
      <c r="P712" s="37"/>
      <c r="Q712" s="37"/>
      <c r="R712" s="37"/>
      <c r="S712" s="37"/>
      <c r="T712" s="38"/>
      <c r="U712" s="40"/>
      <c r="V712" s="40"/>
      <c r="W712" s="40"/>
      <c r="X712" s="41"/>
      <c r="Y712" s="37"/>
      <c r="Z712" s="37"/>
      <c r="AA712" s="37"/>
      <c r="AB712" s="37"/>
      <c r="AC712" s="37"/>
      <c r="AD712" s="40"/>
      <c r="AE712" s="40"/>
      <c r="AF712" s="40"/>
      <c r="AG712" s="42"/>
      <c r="AH712" s="36"/>
      <c r="AI712" s="36"/>
    </row>
    <row r="713" spans="1:35" x14ac:dyDescent="0.3">
      <c r="A713" s="32" t="str">
        <f t="shared" si="66"/>
        <v/>
      </c>
      <c r="B713" s="33" t="str">
        <f t="shared" si="67"/>
        <v/>
      </c>
      <c r="C713" s="33" t="str">
        <f t="shared" si="68"/>
        <v/>
      </c>
      <c r="D713" s="34"/>
      <c r="E713" s="33" t="str">
        <f t="shared" si="69"/>
        <v/>
      </c>
      <c r="F713" s="33" t="str">
        <f t="shared" si="70"/>
        <v/>
      </c>
      <c r="G713" s="35"/>
      <c r="H713" s="35"/>
      <c r="I713" s="33"/>
      <c r="J713" s="33" t="str">
        <f t="shared" si="71"/>
        <v/>
      </c>
      <c r="K713" s="36"/>
      <c r="L713" s="37"/>
      <c r="M713" s="37"/>
      <c r="N713" s="37"/>
      <c r="O713" s="37"/>
      <c r="P713" s="37"/>
      <c r="Q713" s="37"/>
      <c r="R713" s="37"/>
      <c r="S713" s="37"/>
      <c r="T713" s="38"/>
      <c r="U713" s="40"/>
      <c r="V713" s="40"/>
      <c r="W713" s="40"/>
      <c r="X713" s="41"/>
      <c r="Y713" s="37"/>
      <c r="Z713" s="37"/>
      <c r="AA713" s="37"/>
      <c r="AB713" s="37"/>
      <c r="AC713" s="37"/>
      <c r="AD713" s="40"/>
      <c r="AE713" s="40"/>
      <c r="AF713" s="40"/>
      <c r="AG713" s="42"/>
      <c r="AH713" s="36"/>
      <c r="AI713" s="36"/>
    </row>
    <row r="714" spans="1:35" x14ac:dyDescent="0.3">
      <c r="A714" s="32" t="str">
        <f t="shared" si="66"/>
        <v/>
      </c>
      <c r="B714" s="33" t="str">
        <f t="shared" si="67"/>
        <v/>
      </c>
      <c r="C714" s="33" t="str">
        <f t="shared" si="68"/>
        <v/>
      </c>
      <c r="D714" s="34"/>
      <c r="E714" s="33" t="str">
        <f t="shared" si="69"/>
        <v/>
      </c>
      <c r="F714" s="33" t="str">
        <f t="shared" si="70"/>
        <v/>
      </c>
      <c r="G714" s="35"/>
      <c r="H714" s="35"/>
      <c r="I714" s="33"/>
      <c r="J714" s="33" t="str">
        <f t="shared" si="71"/>
        <v/>
      </c>
      <c r="K714" s="36"/>
      <c r="L714" s="37"/>
      <c r="M714" s="37"/>
      <c r="N714" s="37"/>
      <c r="O714" s="37"/>
      <c r="P714" s="37"/>
      <c r="Q714" s="37"/>
      <c r="R714" s="37"/>
      <c r="S714" s="37"/>
      <c r="T714" s="38"/>
      <c r="U714" s="40"/>
      <c r="V714" s="40"/>
      <c r="W714" s="40"/>
      <c r="X714" s="41"/>
      <c r="Y714" s="37"/>
      <c r="Z714" s="37"/>
      <c r="AA714" s="37"/>
      <c r="AB714" s="37"/>
      <c r="AC714" s="37"/>
      <c r="AD714" s="40"/>
      <c r="AE714" s="40"/>
      <c r="AF714" s="40"/>
      <c r="AG714" s="42"/>
      <c r="AH714" s="36"/>
      <c r="AI714" s="36"/>
    </row>
    <row r="715" spans="1:35" x14ac:dyDescent="0.3">
      <c r="A715" s="32" t="str">
        <f t="shared" si="66"/>
        <v/>
      </c>
      <c r="B715" s="33" t="str">
        <f t="shared" si="67"/>
        <v/>
      </c>
      <c r="C715" s="33" t="str">
        <f t="shared" si="68"/>
        <v/>
      </c>
      <c r="D715" s="34"/>
      <c r="E715" s="33" t="str">
        <f t="shared" si="69"/>
        <v/>
      </c>
      <c r="F715" s="33" t="str">
        <f t="shared" si="70"/>
        <v/>
      </c>
      <c r="G715" s="35"/>
      <c r="H715" s="35"/>
      <c r="I715" s="33"/>
      <c r="J715" s="33" t="str">
        <f t="shared" si="71"/>
        <v/>
      </c>
      <c r="K715" s="36"/>
      <c r="L715" s="37"/>
      <c r="M715" s="37"/>
      <c r="N715" s="37"/>
      <c r="O715" s="37"/>
      <c r="P715" s="37"/>
      <c r="Q715" s="37"/>
      <c r="R715" s="37"/>
      <c r="S715" s="37"/>
      <c r="T715" s="38"/>
      <c r="U715" s="40"/>
      <c r="V715" s="40"/>
      <c r="W715" s="40"/>
      <c r="X715" s="41"/>
      <c r="Y715" s="37"/>
      <c r="Z715" s="37"/>
      <c r="AA715" s="37"/>
      <c r="AB715" s="37"/>
      <c r="AC715" s="37"/>
      <c r="AD715" s="40"/>
      <c r="AE715" s="40"/>
      <c r="AF715" s="40"/>
      <c r="AG715" s="42"/>
      <c r="AH715" s="36"/>
      <c r="AI715" s="36"/>
    </row>
    <row r="716" spans="1:35" x14ac:dyDescent="0.3">
      <c r="A716" s="32" t="str">
        <f t="shared" si="66"/>
        <v/>
      </c>
      <c r="B716" s="33" t="str">
        <f t="shared" si="67"/>
        <v/>
      </c>
      <c r="C716" s="33" t="str">
        <f t="shared" si="68"/>
        <v/>
      </c>
      <c r="D716" s="34"/>
      <c r="E716" s="33" t="str">
        <f t="shared" si="69"/>
        <v/>
      </c>
      <c r="F716" s="33" t="str">
        <f t="shared" si="70"/>
        <v/>
      </c>
      <c r="G716" s="35"/>
      <c r="H716" s="35"/>
      <c r="I716" s="33"/>
      <c r="J716" s="33" t="str">
        <f t="shared" si="71"/>
        <v/>
      </c>
      <c r="K716" s="36"/>
      <c r="L716" s="37"/>
      <c r="M716" s="37"/>
      <c r="N716" s="37"/>
      <c r="O716" s="37"/>
      <c r="P716" s="37"/>
      <c r="Q716" s="37"/>
      <c r="R716" s="37"/>
      <c r="S716" s="37"/>
      <c r="T716" s="38"/>
      <c r="U716" s="40"/>
      <c r="V716" s="40"/>
      <c r="W716" s="40"/>
      <c r="X716" s="41"/>
      <c r="Y716" s="37"/>
      <c r="Z716" s="37"/>
      <c r="AA716" s="37"/>
      <c r="AB716" s="37"/>
      <c r="AC716" s="37"/>
      <c r="AD716" s="40"/>
      <c r="AE716" s="40"/>
      <c r="AF716" s="40"/>
      <c r="AG716" s="42"/>
      <c r="AH716" s="36"/>
      <c r="AI716" s="36"/>
    </row>
    <row r="717" spans="1:35" x14ac:dyDescent="0.3">
      <c r="A717" s="32" t="str">
        <f t="shared" si="66"/>
        <v/>
      </c>
      <c r="B717" s="33" t="str">
        <f t="shared" si="67"/>
        <v/>
      </c>
      <c r="C717" s="33" t="str">
        <f t="shared" si="68"/>
        <v/>
      </c>
      <c r="D717" s="34"/>
      <c r="E717" s="33" t="str">
        <f t="shared" si="69"/>
        <v/>
      </c>
      <c r="F717" s="33" t="str">
        <f t="shared" si="70"/>
        <v/>
      </c>
      <c r="G717" s="35"/>
      <c r="H717" s="35"/>
      <c r="I717" s="33"/>
      <c r="J717" s="33" t="str">
        <f t="shared" si="71"/>
        <v/>
      </c>
      <c r="K717" s="36"/>
      <c r="L717" s="37"/>
      <c r="M717" s="37"/>
      <c r="N717" s="37"/>
      <c r="O717" s="37"/>
      <c r="P717" s="37"/>
      <c r="Q717" s="37"/>
      <c r="R717" s="37"/>
      <c r="S717" s="37"/>
      <c r="T717" s="38"/>
      <c r="U717" s="40"/>
      <c r="V717" s="40"/>
      <c r="W717" s="40"/>
      <c r="X717" s="41"/>
      <c r="Y717" s="37"/>
      <c r="Z717" s="37"/>
      <c r="AA717" s="37"/>
      <c r="AB717" s="37"/>
      <c r="AC717" s="37"/>
      <c r="AD717" s="40"/>
      <c r="AE717" s="40"/>
      <c r="AF717" s="40"/>
      <c r="AG717" s="42"/>
      <c r="AH717" s="36"/>
      <c r="AI717" s="36"/>
    </row>
    <row r="718" spans="1:35" x14ac:dyDescent="0.3">
      <c r="A718" s="32" t="str">
        <f t="shared" si="66"/>
        <v/>
      </c>
      <c r="B718" s="33" t="str">
        <f t="shared" si="67"/>
        <v/>
      </c>
      <c r="C718" s="33" t="str">
        <f t="shared" si="68"/>
        <v/>
      </c>
      <c r="D718" s="34"/>
      <c r="E718" s="33" t="str">
        <f t="shared" si="69"/>
        <v/>
      </c>
      <c r="F718" s="33" t="str">
        <f t="shared" si="70"/>
        <v/>
      </c>
      <c r="G718" s="35"/>
      <c r="H718" s="35"/>
      <c r="I718" s="33"/>
      <c r="J718" s="33" t="str">
        <f t="shared" si="71"/>
        <v/>
      </c>
      <c r="K718" s="36"/>
      <c r="L718" s="37"/>
      <c r="M718" s="37"/>
      <c r="N718" s="37"/>
      <c r="O718" s="37"/>
      <c r="P718" s="37"/>
      <c r="Q718" s="37"/>
      <c r="R718" s="37"/>
      <c r="S718" s="37"/>
      <c r="T718" s="38"/>
      <c r="U718" s="40"/>
      <c r="V718" s="40"/>
      <c r="W718" s="40"/>
      <c r="X718" s="41"/>
      <c r="Y718" s="37"/>
      <c r="Z718" s="37"/>
      <c r="AA718" s="37"/>
      <c r="AB718" s="37"/>
      <c r="AC718" s="37"/>
      <c r="AD718" s="40"/>
      <c r="AE718" s="40"/>
      <c r="AF718" s="40"/>
      <c r="AG718" s="42"/>
      <c r="AH718" s="36"/>
      <c r="AI718" s="36"/>
    </row>
    <row r="719" spans="1:35" x14ac:dyDescent="0.3">
      <c r="A719" s="32" t="str">
        <f t="shared" si="66"/>
        <v/>
      </c>
      <c r="B719" s="33" t="str">
        <f t="shared" si="67"/>
        <v/>
      </c>
      <c r="C719" s="33" t="str">
        <f t="shared" si="68"/>
        <v/>
      </c>
      <c r="D719" s="34"/>
      <c r="E719" s="33" t="str">
        <f t="shared" si="69"/>
        <v/>
      </c>
      <c r="F719" s="33" t="str">
        <f t="shared" si="70"/>
        <v/>
      </c>
      <c r="G719" s="35"/>
      <c r="H719" s="35"/>
      <c r="I719" s="33"/>
      <c r="J719" s="33" t="str">
        <f t="shared" si="71"/>
        <v/>
      </c>
      <c r="K719" s="36"/>
      <c r="L719" s="37"/>
      <c r="M719" s="37"/>
      <c r="N719" s="37"/>
      <c r="O719" s="37"/>
      <c r="P719" s="37"/>
      <c r="Q719" s="37"/>
      <c r="R719" s="37"/>
      <c r="S719" s="37"/>
      <c r="T719" s="38"/>
      <c r="U719" s="40"/>
      <c r="V719" s="40"/>
      <c r="W719" s="40"/>
      <c r="X719" s="41"/>
      <c r="Y719" s="37"/>
      <c r="Z719" s="37"/>
      <c r="AA719" s="37"/>
      <c r="AB719" s="37"/>
      <c r="AC719" s="37"/>
      <c r="AD719" s="40"/>
      <c r="AE719" s="40"/>
      <c r="AF719" s="40"/>
      <c r="AG719" s="42"/>
      <c r="AH719" s="36"/>
      <c r="AI719" s="36"/>
    </row>
    <row r="720" spans="1:35" x14ac:dyDescent="0.3">
      <c r="A720" s="32" t="str">
        <f t="shared" si="66"/>
        <v/>
      </c>
      <c r="B720" s="33" t="str">
        <f t="shared" si="67"/>
        <v/>
      </c>
      <c r="C720" s="33" t="str">
        <f t="shared" si="68"/>
        <v/>
      </c>
      <c r="D720" s="34"/>
      <c r="E720" s="33" t="str">
        <f t="shared" si="69"/>
        <v/>
      </c>
      <c r="F720" s="33" t="str">
        <f t="shared" si="70"/>
        <v/>
      </c>
      <c r="G720" s="35"/>
      <c r="H720" s="35"/>
      <c r="I720" s="33"/>
      <c r="J720" s="33" t="str">
        <f t="shared" si="71"/>
        <v/>
      </c>
      <c r="K720" s="36"/>
      <c r="L720" s="37"/>
      <c r="M720" s="37"/>
      <c r="N720" s="37"/>
      <c r="O720" s="37"/>
      <c r="P720" s="37"/>
      <c r="Q720" s="37"/>
      <c r="R720" s="37"/>
      <c r="S720" s="37"/>
      <c r="T720" s="38"/>
      <c r="U720" s="40"/>
      <c r="V720" s="40"/>
      <c r="W720" s="40"/>
      <c r="X720" s="41"/>
      <c r="Y720" s="37"/>
      <c r="Z720" s="37"/>
      <c r="AA720" s="37"/>
      <c r="AB720" s="37"/>
      <c r="AC720" s="37"/>
      <c r="AD720" s="40"/>
      <c r="AE720" s="40"/>
      <c r="AF720" s="40"/>
      <c r="AG720" s="42"/>
      <c r="AH720" s="36"/>
      <c r="AI720" s="36"/>
    </row>
    <row r="721" spans="1:35" x14ac:dyDescent="0.3">
      <c r="A721" s="32" t="str">
        <f t="shared" ref="A721:A784" si="72">IF($K721="", "", ROW()-15)</f>
        <v/>
      </c>
      <c r="B721" s="33" t="str">
        <f t="shared" ref="B721:B784" si="73">IFERROR(IF(ISNUMBER(SEARCH("Q", $K721)), "Q", MID(RIGHT($J721, 4), 1, 1)), "")</f>
        <v/>
      </c>
      <c r="C721" s="33" t="str">
        <f t="shared" ref="C721:C784" si="74">IFERROR(IF(ISNUMBER(SEARCH("Q", $K721)), LEFT($K721, LEN($K721)-15), LEFT($K721, LEN($K721)-8)), "")</f>
        <v/>
      </c>
      <c r="D721" s="34"/>
      <c r="E721" s="33" t="str">
        <f t="shared" ref="E721:E784" si="75">IFERROR(IF($F721="", "", IF($F721="01", "최초", "추가")), " ")</f>
        <v/>
      </c>
      <c r="F721" s="33" t="str">
        <f t="shared" ref="F721:F784" si="76">IFERROR(IF(ISNUMBER(SEARCH("Q", $K721)), MID(RIGHT($K721, 9), 1, 2), RIGHT($K721, 2)), "")</f>
        <v/>
      </c>
      <c r="G721" s="35"/>
      <c r="H721" s="35"/>
      <c r="I721" s="33"/>
      <c r="J721" s="33" t="str">
        <f t="shared" ref="J721:J784" si="77">IFERROR(IF(ISNUMBER(SEARCH("Q", $K721)), LEFT($K721, LEN($K721)-10), LEFT($K721, LEN($K721)-3)), "")</f>
        <v/>
      </c>
      <c r="K721" s="36"/>
      <c r="L721" s="37"/>
      <c r="M721" s="37"/>
      <c r="N721" s="37"/>
      <c r="O721" s="37"/>
      <c r="P721" s="37"/>
      <c r="Q721" s="37"/>
      <c r="R721" s="37"/>
      <c r="S721" s="37"/>
      <c r="T721" s="38"/>
      <c r="U721" s="40"/>
      <c r="V721" s="40"/>
      <c r="W721" s="40"/>
      <c r="X721" s="41"/>
      <c r="Y721" s="37"/>
      <c r="Z721" s="37"/>
      <c r="AA721" s="37"/>
      <c r="AB721" s="37"/>
      <c r="AC721" s="37"/>
      <c r="AD721" s="40"/>
      <c r="AE721" s="40"/>
      <c r="AF721" s="40"/>
      <c r="AG721" s="42"/>
      <c r="AH721" s="36"/>
      <c r="AI721" s="36"/>
    </row>
    <row r="722" spans="1:35" x14ac:dyDescent="0.3">
      <c r="A722" s="32" t="str">
        <f t="shared" si="72"/>
        <v/>
      </c>
      <c r="B722" s="33" t="str">
        <f t="shared" si="73"/>
        <v/>
      </c>
      <c r="C722" s="33" t="str">
        <f t="shared" si="74"/>
        <v/>
      </c>
      <c r="D722" s="34"/>
      <c r="E722" s="33" t="str">
        <f t="shared" si="75"/>
        <v/>
      </c>
      <c r="F722" s="33" t="str">
        <f t="shared" si="76"/>
        <v/>
      </c>
      <c r="G722" s="35"/>
      <c r="H722" s="35"/>
      <c r="I722" s="33"/>
      <c r="J722" s="33" t="str">
        <f t="shared" si="77"/>
        <v/>
      </c>
      <c r="K722" s="36"/>
      <c r="L722" s="37"/>
      <c r="M722" s="37"/>
      <c r="N722" s="37"/>
      <c r="O722" s="37"/>
      <c r="P722" s="37"/>
      <c r="Q722" s="37"/>
      <c r="R722" s="37"/>
      <c r="S722" s="37"/>
      <c r="T722" s="38"/>
      <c r="U722" s="40"/>
      <c r="V722" s="40"/>
      <c r="W722" s="40"/>
      <c r="X722" s="41"/>
      <c r="Y722" s="37"/>
      <c r="Z722" s="37"/>
      <c r="AA722" s="37"/>
      <c r="AB722" s="37"/>
      <c r="AC722" s="37"/>
      <c r="AD722" s="40"/>
      <c r="AE722" s="40"/>
      <c r="AF722" s="40"/>
      <c r="AG722" s="42"/>
      <c r="AH722" s="36"/>
      <c r="AI722" s="36"/>
    </row>
    <row r="723" spans="1:35" x14ac:dyDescent="0.3">
      <c r="A723" s="32" t="str">
        <f t="shared" si="72"/>
        <v/>
      </c>
      <c r="B723" s="33" t="str">
        <f t="shared" si="73"/>
        <v/>
      </c>
      <c r="C723" s="33" t="str">
        <f t="shared" si="74"/>
        <v/>
      </c>
      <c r="D723" s="34"/>
      <c r="E723" s="33" t="str">
        <f t="shared" si="75"/>
        <v/>
      </c>
      <c r="F723" s="33" t="str">
        <f t="shared" si="76"/>
        <v/>
      </c>
      <c r="G723" s="35"/>
      <c r="H723" s="35"/>
      <c r="I723" s="33"/>
      <c r="J723" s="33" t="str">
        <f t="shared" si="77"/>
        <v/>
      </c>
      <c r="K723" s="36"/>
      <c r="L723" s="37"/>
      <c r="M723" s="37"/>
      <c r="N723" s="37"/>
      <c r="O723" s="37"/>
      <c r="P723" s="37"/>
      <c r="Q723" s="37"/>
      <c r="R723" s="37"/>
      <c r="S723" s="37"/>
      <c r="T723" s="38"/>
      <c r="U723" s="40"/>
      <c r="V723" s="40"/>
      <c r="W723" s="40"/>
      <c r="X723" s="41"/>
      <c r="Y723" s="37"/>
      <c r="Z723" s="37"/>
      <c r="AA723" s="37"/>
      <c r="AB723" s="37"/>
      <c r="AC723" s="37"/>
      <c r="AD723" s="40"/>
      <c r="AE723" s="40"/>
      <c r="AF723" s="40"/>
      <c r="AG723" s="42"/>
      <c r="AH723" s="36"/>
      <c r="AI723" s="36"/>
    </row>
    <row r="724" spans="1:35" x14ac:dyDescent="0.3">
      <c r="A724" s="32" t="str">
        <f t="shared" si="72"/>
        <v/>
      </c>
      <c r="B724" s="33" t="str">
        <f t="shared" si="73"/>
        <v/>
      </c>
      <c r="C724" s="33" t="str">
        <f t="shared" si="74"/>
        <v/>
      </c>
      <c r="D724" s="34"/>
      <c r="E724" s="33" t="str">
        <f t="shared" si="75"/>
        <v/>
      </c>
      <c r="F724" s="33" t="str">
        <f t="shared" si="76"/>
        <v/>
      </c>
      <c r="G724" s="35"/>
      <c r="H724" s="35"/>
      <c r="I724" s="33"/>
      <c r="J724" s="33" t="str">
        <f t="shared" si="77"/>
        <v/>
      </c>
      <c r="K724" s="36"/>
      <c r="L724" s="37"/>
      <c r="M724" s="37"/>
      <c r="N724" s="37"/>
      <c r="O724" s="37"/>
      <c r="P724" s="37"/>
      <c r="Q724" s="37"/>
      <c r="R724" s="37"/>
      <c r="S724" s="37"/>
      <c r="T724" s="38"/>
      <c r="U724" s="40"/>
      <c r="V724" s="40"/>
      <c r="W724" s="40"/>
      <c r="X724" s="41"/>
      <c r="Y724" s="37"/>
      <c r="Z724" s="37"/>
      <c r="AA724" s="37"/>
      <c r="AB724" s="37"/>
      <c r="AC724" s="37"/>
      <c r="AD724" s="40"/>
      <c r="AE724" s="40"/>
      <c r="AF724" s="40"/>
      <c r="AG724" s="42"/>
      <c r="AH724" s="36"/>
      <c r="AI724" s="36"/>
    </row>
    <row r="725" spans="1:35" x14ac:dyDescent="0.3">
      <c r="A725" s="32" t="str">
        <f t="shared" si="72"/>
        <v/>
      </c>
      <c r="B725" s="33" t="str">
        <f t="shared" si="73"/>
        <v/>
      </c>
      <c r="C725" s="33" t="str">
        <f t="shared" si="74"/>
        <v/>
      </c>
      <c r="D725" s="34"/>
      <c r="E725" s="33" t="str">
        <f t="shared" si="75"/>
        <v/>
      </c>
      <c r="F725" s="33" t="str">
        <f t="shared" si="76"/>
        <v/>
      </c>
      <c r="G725" s="35"/>
      <c r="H725" s="35"/>
      <c r="I725" s="33"/>
      <c r="J725" s="33" t="str">
        <f t="shared" si="77"/>
        <v/>
      </c>
      <c r="K725" s="36"/>
      <c r="L725" s="37"/>
      <c r="M725" s="37"/>
      <c r="N725" s="37"/>
      <c r="O725" s="37"/>
      <c r="P725" s="37"/>
      <c r="Q725" s="37"/>
      <c r="R725" s="37"/>
      <c r="S725" s="37"/>
      <c r="T725" s="38"/>
      <c r="U725" s="40"/>
      <c r="V725" s="40"/>
      <c r="W725" s="40"/>
      <c r="X725" s="41"/>
      <c r="Y725" s="37"/>
      <c r="Z725" s="37"/>
      <c r="AA725" s="37"/>
      <c r="AB725" s="37"/>
      <c r="AC725" s="37"/>
      <c r="AD725" s="40"/>
      <c r="AE725" s="40"/>
      <c r="AF725" s="40"/>
      <c r="AG725" s="42"/>
      <c r="AH725" s="36"/>
      <c r="AI725" s="36"/>
    </row>
    <row r="726" spans="1:35" x14ac:dyDescent="0.3">
      <c r="A726" s="32" t="str">
        <f t="shared" si="72"/>
        <v/>
      </c>
      <c r="B726" s="33" t="str">
        <f t="shared" si="73"/>
        <v/>
      </c>
      <c r="C726" s="33" t="str">
        <f t="shared" si="74"/>
        <v/>
      </c>
      <c r="D726" s="34"/>
      <c r="E726" s="33" t="str">
        <f t="shared" si="75"/>
        <v/>
      </c>
      <c r="F726" s="33" t="str">
        <f t="shared" si="76"/>
        <v/>
      </c>
      <c r="G726" s="35"/>
      <c r="H726" s="35"/>
      <c r="I726" s="33"/>
      <c r="J726" s="33" t="str">
        <f t="shared" si="77"/>
        <v/>
      </c>
      <c r="K726" s="36"/>
      <c r="L726" s="37"/>
      <c r="M726" s="37"/>
      <c r="N726" s="37"/>
      <c r="O726" s="37"/>
      <c r="P726" s="37"/>
      <c r="Q726" s="37"/>
      <c r="R726" s="37"/>
      <c r="S726" s="37"/>
      <c r="T726" s="38"/>
      <c r="U726" s="40"/>
      <c r="V726" s="40"/>
      <c r="W726" s="40"/>
      <c r="X726" s="41"/>
      <c r="Y726" s="37"/>
      <c r="Z726" s="37"/>
      <c r="AA726" s="37"/>
      <c r="AB726" s="37"/>
      <c r="AC726" s="37"/>
      <c r="AD726" s="40"/>
      <c r="AE726" s="40"/>
      <c r="AF726" s="40"/>
      <c r="AG726" s="42"/>
      <c r="AH726" s="36"/>
      <c r="AI726" s="36"/>
    </row>
    <row r="727" spans="1:35" x14ac:dyDescent="0.3">
      <c r="A727" s="32" t="str">
        <f t="shared" si="72"/>
        <v/>
      </c>
      <c r="B727" s="33" t="str">
        <f t="shared" si="73"/>
        <v/>
      </c>
      <c r="C727" s="33" t="str">
        <f t="shared" si="74"/>
        <v/>
      </c>
      <c r="D727" s="34"/>
      <c r="E727" s="33" t="str">
        <f t="shared" si="75"/>
        <v/>
      </c>
      <c r="F727" s="33" t="str">
        <f t="shared" si="76"/>
        <v/>
      </c>
      <c r="G727" s="35"/>
      <c r="H727" s="35"/>
      <c r="I727" s="33"/>
      <c r="J727" s="33" t="str">
        <f t="shared" si="77"/>
        <v/>
      </c>
      <c r="K727" s="36"/>
      <c r="L727" s="37"/>
      <c r="M727" s="37"/>
      <c r="N727" s="37"/>
      <c r="O727" s="37"/>
      <c r="P727" s="37"/>
      <c r="Q727" s="37"/>
      <c r="R727" s="37"/>
      <c r="S727" s="37"/>
      <c r="T727" s="38"/>
      <c r="U727" s="40"/>
      <c r="V727" s="40"/>
      <c r="W727" s="40"/>
      <c r="X727" s="41"/>
      <c r="Y727" s="37"/>
      <c r="Z727" s="37"/>
      <c r="AA727" s="37"/>
      <c r="AB727" s="37"/>
      <c r="AC727" s="37"/>
      <c r="AD727" s="40"/>
      <c r="AE727" s="40"/>
      <c r="AF727" s="40"/>
      <c r="AG727" s="42"/>
      <c r="AH727" s="36"/>
      <c r="AI727" s="36"/>
    </row>
    <row r="728" spans="1:35" x14ac:dyDescent="0.3">
      <c r="A728" s="32" t="str">
        <f t="shared" si="72"/>
        <v/>
      </c>
      <c r="B728" s="33" t="str">
        <f t="shared" si="73"/>
        <v/>
      </c>
      <c r="C728" s="33" t="str">
        <f t="shared" si="74"/>
        <v/>
      </c>
      <c r="D728" s="34"/>
      <c r="E728" s="33" t="str">
        <f t="shared" si="75"/>
        <v/>
      </c>
      <c r="F728" s="33" t="str">
        <f t="shared" si="76"/>
        <v/>
      </c>
      <c r="G728" s="35"/>
      <c r="H728" s="35"/>
      <c r="I728" s="33"/>
      <c r="J728" s="33" t="str">
        <f t="shared" si="77"/>
        <v/>
      </c>
      <c r="K728" s="36"/>
      <c r="L728" s="37"/>
      <c r="M728" s="37"/>
      <c r="N728" s="37"/>
      <c r="O728" s="37"/>
      <c r="P728" s="37"/>
      <c r="Q728" s="37"/>
      <c r="R728" s="37"/>
      <c r="S728" s="37"/>
      <c r="T728" s="38"/>
      <c r="U728" s="40"/>
      <c r="V728" s="40"/>
      <c r="W728" s="40"/>
      <c r="X728" s="41"/>
      <c r="Y728" s="37"/>
      <c r="Z728" s="37"/>
      <c r="AA728" s="37"/>
      <c r="AB728" s="37"/>
      <c r="AC728" s="37"/>
      <c r="AD728" s="40"/>
      <c r="AE728" s="40"/>
      <c r="AF728" s="40"/>
      <c r="AG728" s="42"/>
      <c r="AH728" s="36"/>
      <c r="AI728" s="36"/>
    </row>
    <row r="729" spans="1:35" x14ac:dyDescent="0.3">
      <c r="A729" s="32" t="str">
        <f t="shared" si="72"/>
        <v/>
      </c>
      <c r="B729" s="33" t="str">
        <f t="shared" si="73"/>
        <v/>
      </c>
      <c r="C729" s="33" t="str">
        <f t="shared" si="74"/>
        <v/>
      </c>
      <c r="D729" s="34"/>
      <c r="E729" s="33" t="str">
        <f t="shared" si="75"/>
        <v/>
      </c>
      <c r="F729" s="33" t="str">
        <f t="shared" si="76"/>
        <v/>
      </c>
      <c r="G729" s="35"/>
      <c r="H729" s="35"/>
      <c r="I729" s="33"/>
      <c r="J729" s="33" t="str">
        <f t="shared" si="77"/>
        <v/>
      </c>
      <c r="K729" s="36"/>
      <c r="L729" s="37"/>
      <c r="M729" s="37"/>
      <c r="N729" s="37"/>
      <c r="O729" s="37"/>
      <c r="P729" s="37"/>
      <c r="Q729" s="37"/>
      <c r="R729" s="37"/>
      <c r="S729" s="37"/>
      <c r="T729" s="38"/>
      <c r="U729" s="40"/>
      <c r="V729" s="40"/>
      <c r="W729" s="40"/>
      <c r="X729" s="41"/>
      <c r="Y729" s="37"/>
      <c r="Z729" s="37"/>
      <c r="AA729" s="37"/>
      <c r="AB729" s="37"/>
      <c r="AC729" s="37"/>
      <c r="AD729" s="40"/>
      <c r="AE729" s="40"/>
      <c r="AF729" s="40"/>
      <c r="AG729" s="42"/>
      <c r="AH729" s="36"/>
      <c r="AI729" s="36"/>
    </row>
    <row r="730" spans="1:35" x14ac:dyDescent="0.3">
      <c r="A730" s="32" t="str">
        <f t="shared" si="72"/>
        <v/>
      </c>
      <c r="B730" s="33" t="str">
        <f t="shared" si="73"/>
        <v/>
      </c>
      <c r="C730" s="33" t="str">
        <f t="shared" si="74"/>
        <v/>
      </c>
      <c r="D730" s="34"/>
      <c r="E730" s="33" t="str">
        <f t="shared" si="75"/>
        <v/>
      </c>
      <c r="F730" s="33" t="str">
        <f t="shared" si="76"/>
        <v/>
      </c>
      <c r="G730" s="35"/>
      <c r="H730" s="35"/>
      <c r="I730" s="33"/>
      <c r="J730" s="33" t="str">
        <f t="shared" si="77"/>
        <v/>
      </c>
      <c r="K730" s="36"/>
      <c r="L730" s="37"/>
      <c r="M730" s="37"/>
      <c r="N730" s="37"/>
      <c r="O730" s="37"/>
      <c r="P730" s="37"/>
      <c r="Q730" s="37"/>
      <c r="R730" s="37"/>
      <c r="S730" s="37"/>
      <c r="T730" s="38"/>
      <c r="U730" s="40"/>
      <c r="V730" s="40"/>
      <c r="W730" s="40"/>
      <c r="X730" s="41"/>
      <c r="Y730" s="37"/>
      <c r="Z730" s="37"/>
      <c r="AA730" s="37"/>
      <c r="AB730" s="37"/>
      <c r="AC730" s="37"/>
      <c r="AD730" s="40"/>
      <c r="AE730" s="40"/>
      <c r="AF730" s="40"/>
      <c r="AG730" s="42"/>
      <c r="AH730" s="36"/>
      <c r="AI730" s="36"/>
    </row>
    <row r="731" spans="1:35" x14ac:dyDescent="0.3">
      <c r="A731" s="32" t="str">
        <f t="shared" si="72"/>
        <v/>
      </c>
      <c r="B731" s="33" t="str">
        <f t="shared" si="73"/>
        <v/>
      </c>
      <c r="C731" s="33" t="str">
        <f t="shared" si="74"/>
        <v/>
      </c>
      <c r="D731" s="34"/>
      <c r="E731" s="33" t="str">
        <f t="shared" si="75"/>
        <v/>
      </c>
      <c r="F731" s="33" t="str">
        <f t="shared" si="76"/>
        <v/>
      </c>
      <c r="G731" s="35"/>
      <c r="H731" s="35"/>
      <c r="I731" s="33"/>
      <c r="J731" s="33" t="str">
        <f t="shared" si="77"/>
        <v/>
      </c>
      <c r="K731" s="36"/>
      <c r="L731" s="37"/>
      <c r="M731" s="37"/>
      <c r="N731" s="37"/>
      <c r="O731" s="37"/>
      <c r="P731" s="37"/>
      <c r="Q731" s="37"/>
      <c r="R731" s="37"/>
      <c r="S731" s="37"/>
      <c r="T731" s="38"/>
      <c r="U731" s="40"/>
      <c r="V731" s="40"/>
      <c r="W731" s="40"/>
      <c r="X731" s="41"/>
      <c r="Y731" s="37"/>
      <c r="Z731" s="37"/>
      <c r="AA731" s="37"/>
      <c r="AB731" s="37"/>
      <c r="AC731" s="37"/>
      <c r="AD731" s="40"/>
      <c r="AE731" s="40"/>
      <c r="AF731" s="40"/>
      <c r="AG731" s="42"/>
      <c r="AH731" s="36"/>
      <c r="AI731" s="36"/>
    </row>
    <row r="732" spans="1:35" x14ac:dyDescent="0.3">
      <c r="A732" s="32" t="str">
        <f t="shared" si="72"/>
        <v/>
      </c>
      <c r="B732" s="33" t="str">
        <f t="shared" si="73"/>
        <v/>
      </c>
      <c r="C732" s="33" t="str">
        <f t="shared" si="74"/>
        <v/>
      </c>
      <c r="D732" s="34"/>
      <c r="E732" s="33" t="str">
        <f t="shared" si="75"/>
        <v/>
      </c>
      <c r="F732" s="33" t="str">
        <f t="shared" si="76"/>
        <v/>
      </c>
      <c r="G732" s="35"/>
      <c r="H732" s="35"/>
      <c r="I732" s="33"/>
      <c r="J732" s="33" t="str">
        <f t="shared" si="77"/>
        <v/>
      </c>
      <c r="K732" s="36"/>
      <c r="L732" s="37"/>
      <c r="M732" s="37"/>
      <c r="N732" s="37"/>
      <c r="O732" s="37"/>
      <c r="P732" s="37"/>
      <c r="Q732" s="37"/>
      <c r="R732" s="37"/>
      <c r="S732" s="37"/>
      <c r="T732" s="38"/>
      <c r="U732" s="40"/>
      <c r="V732" s="40"/>
      <c r="W732" s="40"/>
      <c r="X732" s="41"/>
      <c r="Y732" s="37"/>
      <c r="Z732" s="37"/>
      <c r="AA732" s="37"/>
      <c r="AB732" s="37"/>
      <c r="AC732" s="37"/>
      <c r="AD732" s="40"/>
      <c r="AE732" s="40"/>
      <c r="AF732" s="40"/>
      <c r="AG732" s="42"/>
      <c r="AH732" s="36"/>
      <c r="AI732" s="36"/>
    </row>
    <row r="733" spans="1:35" x14ac:dyDescent="0.3">
      <c r="A733" s="32" t="str">
        <f t="shared" si="72"/>
        <v/>
      </c>
      <c r="B733" s="33" t="str">
        <f t="shared" si="73"/>
        <v/>
      </c>
      <c r="C733" s="33" t="str">
        <f t="shared" si="74"/>
        <v/>
      </c>
      <c r="D733" s="34"/>
      <c r="E733" s="33" t="str">
        <f t="shared" si="75"/>
        <v/>
      </c>
      <c r="F733" s="33" t="str">
        <f t="shared" si="76"/>
        <v/>
      </c>
      <c r="G733" s="35"/>
      <c r="H733" s="35"/>
      <c r="I733" s="33"/>
      <c r="J733" s="33" t="str">
        <f t="shared" si="77"/>
        <v/>
      </c>
      <c r="K733" s="36"/>
      <c r="L733" s="37"/>
      <c r="M733" s="37"/>
      <c r="N733" s="37"/>
      <c r="O733" s="37"/>
      <c r="P733" s="37"/>
      <c r="Q733" s="37"/>
      <c r="R733" s="37"/>
      <c r="S733" s="37"/>
      <c r="T733" s="38"/>
      <c r="U733" s="40"/>
      <c r="V733" s="40"/>
      <c r="W733" s="40"/>
      <c r="X733" s="41"/>
      <c r="Y733" s="37"/>
      <c r="Z733" s="37"/>
      <c r="AA733" s="37"/>
      <c r="AB733" s="37"/>
      <c r="AC733" s="37"/>
      <c r="AD733" s="40"/>
      <c r="AE733" s="40"/>
      <c r="AF733" s="40"/>
      <c r="AG733" s="42"/>
      <c r="AH733" s="36"/>
      <c r="AI733" s="36"/>
    </row>
    <row r="734" spans="1:35" x14ac:dyDescent="0.3">
      <c r="A734" s="32" t="str">
        <f t="shared" si="72"/>
        <v/>
      </c>
      <c r="B734" s="33" t="str">
        <f t="shared" si="73"/>
        <v/>
      </c>
      <c r="C734" s="33" t="str">
        <f t="shared" si="74"/>
        <v/>
      </c>
      <c r="D734" s="34"/>
      <c r="E734" s="33" t="str">
        <f t="shared" si="75"/>
        <v/>
      </c>
      <c r="F734" s="33" t="str">
        <f t="shared" si="76"/>
        <v/>
      </c>
      <c r="G734" s="35"/>
      <c r="H734" s="35"/>
      <c r="I734" s="33"/>
      <c r="J734" s="33" t="str">
        <f t="shared" si="77"/>
        <v/>
      </c>
      <c r="K734" s="36"/>
      <c r="L734" s="37"/>
      <c r="M734" s="37"/>
      <c r="N734" s="37"/>
      <c r="O734" s="37"/>
      <c r="P734" s="37"/>
      <c r="Q734" s="37"/>
      <c r="R734" s="37"/>
      <c r="S734" s="37"/>
      <c r="T734" s="38"/>
      <c r="U734" s="40"/>
      <c r="V734" s="40"/>
      <c r="W734" s="40"/>
      <c r="X734" s="41"/>
      <c r="Y734" s="37"/>
      <c r="Z734" s="37"/>
      <c r="AA734" s="37"/>
      <c r="AB734" s="37"/>
      <c r="AC734" s="37"/>
      <c r="AD734" s="40"/>
      <c r="AE734" s="40"/>
      <c r="AF734" s="40"/>
      <c r="AG734" s="42"/>
      <c r="AH734" s="36"/>
      <c r="AI734" s="36"/>
    </row>
    <row r="735" spans="1:35" x14ac:dyDescent="0.3">
      <c r="A735" s="32" t="str">
        <f t="shared" si="72"/>
        <v/>
      </c>
      <c r="B735" s="33" t="str">
        <f t="shared" si="73"/>
        <v/>
      </c>
      <c r="C735" s="33" t="str">
        <f t="shared" si="74"/>
        <v/>
      </c>
      <c r="D735" s="34"/>
      <c r="E735" s="33" t="str">
        <f t="shared" si="75"/>
        <v/>
      </c>
      <c r="F735" s="33" t="str">
        <f t="shared" si="76"/>
        <v/>
      </c>
      <c r="G735" s="35"/>
      <c r="H735" s="35"/>
      <c r="I735" s="33"/>
      <c r="J735" s="33" t="str">
        <f t="shared" si="77"/>
        <v/>
      </c>
      <c r="K735" s="36"/>
      <c r="L735" s="37"/>
      <c r="M735" s="37"/>
      <c r="N735" s="37"/>
      <c r="O735" s="37"/>
      <c r="P735" s="37"/>
      <c r="Q735" s="37"/>
      <c r="R735" s="37"/>
      <c r="S735" s="37"/>
      <c r="T735" s="38"/>
      <c r="U735" s="40"/>
      <c r="V735" s="40"/>
      <c r="W735" s="40"/>
      <c r="X735" s="41"/>
      <c r="Y735" s="37"/>
      <c r="Z735" s="37"/>
      <c r="AA735" s="37"/>
      <c r="AB735" s="37"/>
      <c r="AC735" s="37"/>
      <c r="AD735" s="40"/>
      <c r="AE735" s="40"/>
      <c r="AF735" s="40"/>
      <c r="AG735" s="42"/>
      <c r="AH735" s="36"/>
      <c r="AI735" s="36"/>
    </row>
    <row r="736" spans="1:35" x14ac:dyDescent="0.3">
      <c r="A736" s="32" t="str">
        <f t="shared" si="72"/>
        <v/>
      </c>
      <c r="B736" s="33" t="str">
        <f t="shared" si="73"/>
        <v/>
      </c>
      <c r="C736" s="33" t="str">
        <f t="shared" si="74"/>
        <v/>
      </c>
      <c r="D736" s="34"/>
      <c r="E736" s="33" t="str">
        <f t="shared" si="75"/>
        <v/>
      </c>
      <c r="F736" s="33" t="str">
        <f t="shared" si="76"/>
        <v/>
      </c>
      <c r="G736" s="35"/>
      <c r="H736" s="35"/>
      <c r="I736" s="33"/>
      <c r="J736" s="33" t="str">
        <f t="shared" si="77"/>
        <v/>
      </c>
      <c r="K736" s="36"/>
      <c r="L736" s="37"/>
      <c r="M736" s="37"/>
      <c r="N736" s="37"/>
      <c r="O736" s="37"/>
      <c r="P736" s="37"/>
      <c r="Q736" s="37"/>
      <c r="R736" s="37"/>
      <c r="S736" s="37"/>
      <c r="T736" s="38"/>
      <c r="U736" s="40"/>
      <c r="V736" s="40"/>
      <c r="W736" s="40"/>
      <c r="X736" s="41"/>
      <c r="Y736" s="37"/>
      <c r="Z736" s="37"/>
      <c r="AA736" s="37"/>
      <c r="AB736" s="37"/>
      <c r="AC736" s="37"/>
      <c r="AD736" s="40"/>
      <c r="AE736" s="40"/>
      <c r="AF736" s="40"/>
      <c r="AG736" s="42"/>
      <c r="AH736" s="36"/>
      <c r="AI736" s="36"/>
    </row>
    <row r="737" spans="1:35" x14ac:dyDescent="0.3">
      <c r="A737" s="32" t="str">
        <f t="shared" si="72"/>
        <v/>
      </c>
      <c r="B737" s="33" t="str">
        <f t="shared" si="73"/>
        <v/>
      </c>
      <c r="C737" s="33" t="str">
        <f t="shared" si="74"/>
        <v/>
      </c>
      <c r="D737" s="34"/>
      <c r="E737" s="33" t="str">
        <f t="shared" si="75"/>
        <v/>
      </c>
      <c r="F737" s="33" t="str">
        <f t="shared" si="76"/>
        <v/>
      </c>
      <c r="G737" s="35"/>
      <c r="H737" s="35"/>
      <c r="I737" s="33"/>
      <c r="J737" s="33" t="str">
        <f t="shared" si="77"/>
        <v/>
      </c>
      <c r="K737" s="36"/>
      <c r="L737" s="37"/>
      <c r="M737" s="37"/>
      <c r="N737" s="37"/>
      <c r="O737" s="37"/>
      <c r="P737" s="37"/>
      <c r="Q737" s="37"/>
      <c r="R737" s="37"/>
      <c r="S737" s="37"/>
      <c r="T737" s="38"/>
      <c r="U737" s="40"/>
      <c r="V737" s="40"/>
      <c r="W737" s="40"/>
      <c r="X737" s="41"/>
      <c r="Y737" s="37"/>
      <c r="Z737" s="37"/>
      <c r="AA737" s="37"/>
      <c r="AB737" s="37"/>
      <c r="AC737" s="37"/>
      <c r="AD737" s="40"/>
      <c r="AE737" s="40"/>
      <c r="AF737" s="40"/>
      <c r="AG737" s="42"/>
      <c r="AH737" s="36"/>
      <c r="AI737" s="36"/>
    </row>
    <row r="738" spans="1:35" x14ac:dyDescent="0.3">
      <c r="A738" s="32" t="str">
        <f t="shared" si="72"/>
        <v/>
      </c>
      <c r="B738" s="33" t="str">
        <f t="shared" si="73"/>
        <v/>
      </c>
      <c r="C738" s="33" t="str">
        <f t="shared" si="74"/>
        <v/>
      </c>
      <c r="D738" s="34"/>
      <c r="E738" s="33" t="str">
        <f t="shared" si="75"/>
        <v/>
      </c>
      <c r="F738" s="33" t="str">
        <f t="shared" si="76"/>
        <v/>
      </c>
      <c r="G738" s="35"/>
      <c r="H738" s="35"/>
      <c r="I738" s="33"/>
      <c r="J738" s="33" t="str">
        <f t="shared" si="77"/>
        <v/>
      </c>
      <c r="K738" s="36"/>
      <c r="L738" s="37"/>
      <c r="M738" s="37"/>
      <c r="N738" s="37"/>
      <c r="O738" s="37"/>
      <c r="P738" s="37"/>
      <c r="Q738" s="37"/>
      <c r="R738" s="37"/>
      <c r="S738" s="37"/>
      <c r="T738" s="38"/>
      <c r="U738" s="40"/>
      <c r="V738" s="40"/>
      <c r="W738" s="40"/>
      <c r="X738" s="41"/>
      <c r="Y738" s="37"/>
      <c r="Z738" s="37"/>
      <c r="AA738" s="37"/>
      <c r="AB738" s="37"/>
      <c r="AC738" s="37"/>
      <c r="AD738" s="40"/>
      <c r="AE738" s="40"/>
      <c r="AF738" s="40"/>
      <c r="AG738" s="42"/>
      <c r="AH738" s="36"/>
      <c r="AI738" s="36"/>
    </row>
    <row r="739" spans="1:35" x14ac:dyDescent="0.3">
      <c r="A739" s="32" t="str">
        <f t="shared" si="72"/>
        <v/>
      </c>
      <c r="B739" s="33" t="str">
        <f t="shared" si="73"/>
        <v/>
      </c>
      <c r="C739" s="33" t="str">
        <f t="shared" si="74"/>
        <v/>
      </c>
      <c r="D739" s="34"/>
      <c r="E739" s="33" t="str">
        <f t="shared" si="75"/>
        <v/>
      </c>
      <c r="F739" s="33" t="str">
        <f t="shared" si="76"/>
        <v/>
      </c>
      <c r="G739" s="35"/>
      <c r="H739" s="35"/>
      <c r="I739" s="33"/>
      <c r="J739" s="33" t="str">
        <f t="shared" si="77"/>
        <v/>
      </c>
      <c r="K739" s="36"/>
      <c r="L739" s="37"/>
      <c r="M739" s="37"/>
      <c r="N739" s="37"/>
      <c r="O739" s="37"/>
      <c r="P739" s="37"/>
      <c r="Q739" s="37"/>
      <c r="R739" s="37"/>
      <c r="S739" s="37"/>
      <c r="T739" s="38"/>
      <c r="U739" s="40"/>
      <c r="V739" s="40"/>
      <c r="W739" s="40"/>
      <c r="X739" s="41"/>
      <c r="Y739" s="37"/>
      <c r="Z739" s="37"/>
      <c r="AA739" s="37"/>
      <c r="AB739" s="37"/>
      <c r="AC739" s="37"/>
      <c r="AD739" s="40"/>
      <c r="AE739" s="40"/>
      <c r="AF739" s="40"/>
      <c r="AG739" s="42"/>
      <c r="AH739" s="36"/>
      <c r="AI739" s="36"/>
    </row>
    <row r="740" spans="1:35" x14ac:dyDescent="0.3">
      <c r="A740" s="32" t="str">
        <f t="shared" si="72"/>
        <v/>
      </c>
      <c r="B740" s="33" t="str">
        <f t="shared" si="73"/>
        <v/>
      </c>
      <c r="C740" s="33" t="str">
        <f t="shared" si="74"/>
        <v/>
      </c>
      <c r="D740" s="34"/>
      <c r="E740" s="33" t="str">
        <f t="shared" si="75"/>
        <v/>
      </c>
      <c r="F740" s="33" t="str">
        <f t="shared" si="76"/>
        <v/>
      </c>
      <c r="G740" s="35"/>
      <c r="H740" s="35"/>
      <c r="I740" s="33"/>
      <c r="J740" s="33" t="str">
        <f t="shared" si="77"/>
        <v/>
      </c>
      <c r="K740" s="36"/>
      <c r="L740" s="37"/>
      <c r="M740" s="37"/>
      <c r="N740" s="37"/>
      <c r="O740" s="37"/>
      <c r="P740" s="37"/>
      <c r="Q740" s="37"/>
      <c r="R740" s="37"/>
      <c r="S740" s="37"/>
      <c r="T740" s="38"/>
      <c r="U740" s="40"/>
      <c r="V740" s="40"/>
      <c r="W740" s="40"/>
      <c r="X740" s="41"/>
      <c r="Y740" s="37"/>
      <c r="Z740" s="37"/>
      <c r="AA740" s="37"/>
      <c r="AB740" s="37"/>
      <c r="AC740" s="37"/>
      <c r="AD740" s="40"/>
      <c r="AE740" s="40"/>
      <c r="AF740" s="40"/>
      <c r="AG740" s="42"/>
      <c r="AH740" s="36"/>
      <c r="AI740" s="36"/>
    </row>
    <row r="741" spans="1:35" x14ac:dyDescent="0.3">
      <c r="A741" s="32" t="str">
        <f t="shared" si="72"/>
        <v/>
      </c>
      <c r="B741" s="33" t="str">
        <f t="shared" si="73"/>
        <v/>
      </c>
      <c r="C741" s="33" t="str">
        <f t="shared" si="74"/>
        <v/>
      </c>
      <c r="D741" s="34"/>
      <c r="E741" s="33" t="str">
        <f t="shared" si="75"/>
        <v/>
      </c>
      <c r="F741" s="33" t="str">
        <f t="shared" si="76"/>
        <v/>
      </c>
      <c r="G741" s="35"/>
      <c r="H741" s="35"/>
      <c r="I741" s="33"/>
      <c r="J741" s="33" t="str">
        <f t="shared" si="77"/>
        <v/>
      </c>
      <c r="K741" s="36"/>
      <c r="L741" s="37"/>
      <c r="M741" s="37"/>
      <c r="N741" s="37"/>
      <c r="O741" s="37"/>
      <c r="P741" s="37"/>
      <c r="Q741" s="37"/>
      <c r="R741" s="37"/>
      <c r="S741" s="37"/>
      <c r="T741" s="38"/>
      <c r="U741" s="40"/>
      <c r="V741" s="40"/>
      <c r="W741" s="40"/>
      <c r="X741" s="41"/>
      <c r="Y741" s="37"/>
      <c r="Z741" s="37"/>
      <c r="AA741" s="37"/>
      <c r="AB741" s="37"/>
      <c r="AC741" s="37"/>
      <c r="AD741" s="40"/>
      <c r="AE741" s="40"/>
      <c r="AF741" s="40"/>
      <c r="AG741" s="42"/>
      <c r="AH741" s="36"/>
      <c r="AI741" s="36"/>
    </row>
    <row r="742" spans="1:35" x14ac:dyDescent="0.3">
      <c r="A742" s="32" t="str">
        <f t="shared" si="72"/>
        <v/>
      </c>
      <c r="B742" s="33" t="str">
        <f t="shared" si="73"/>
        <v/>
      </c>
      <c r="C742" s="33" t="str">
        <f t="shared" si="74"/>
        <v/>
      </c>
      <c r="D742" s="34"/>
      <c r="E742" s="33" t="str">
        <f t="shared" si="75"/>
        <v/>
      </c>
      <c r="F742" s="33" t="str">
        <f t="shared" si="76"/>
        <v/>
      </c>
      <c r="G742" s="35"/>
      <c r="H742" s="35"/>
      <c r="I742" s="33"/>
      <c r="J742" s="33" t="str">
        <f t="shared" si="77"/>
        <v/>
      </c>
      <c r="K742" s="36"/>
      <c r="L742" s="37"/>
      <c r="M742" s="37"/>
      <c r="N742" s="37"/>
      <c r="O742" s="37"/>
      <c r="P742" s="37"/>
      <c r="Q742" s="37"/>
      <c r="R742" s="37"/>
      <c r="S742" s="37"/>
      <c r="T742" s="38"/>
      <c r="U742" s="40"/>
      <c r="V742" s="40"/>
      <c r="W742" s="40"/>
      <c r="X742" s="41"/>
      <c r="Y742" s="37"/>
      <c r="Z742" s="37"/>
      <c r="AA742" s="37"/>
      <c r="AB742" s="37"/>
      <c r="AC742" s="37"/>
      <c r="AD742" s="40"/>
      <c r="AE742" s="40"/>
      <c r="AF742" s="40"/>
      <c r="AG742" s="42"/>
      <c r="AH742" s="36"/>
      <c r="AI742" s="36"/>
    </row>
    <row r="743" spans="1:35" x14ac:dyDescent="0.3">
      <c r="A743" s="32" t="str">
        <f t="shared" si="72"/>
        <v/>
      </c>
      <c r="B743" s="33" t="str">
        <f t="shared" si="73"/>
        <v/>
      </c>
      <c r="C743" s="33" t="str">
        <f t="shared" si="74"/>
        <v/>
      </c>
      <c r="D743" s="34"/>
      <c r="E743" s="33" t="str">
        <f t="shared" si="75"/>
        <v/>
      </c>
      <c r="F743" s="33" t="str">
        <f t="shared" si="76"/>
        <v/>
      </c>
      <c r="G743" s="35"/>
      <c r="H743" s="35"/>
      <c r="I743" s="33"/>
      <c r="J743" s="33" t="str">
        <f t="shared" si="77"/>
        <v/>
      </c>
      <c r="K743" s="36"/>
      <c r="L743" s="37"/>
      <c r="M743" s="37"/>
      <c r="N743" s="37"/>
      <c r="O743" s="37"/>
      <c r="P743" s="37"/>
      <c r="Q743" s="37"/>
      <c r="R743" s="37"/>
      <c r="S743" s="37"/>
      <c r="T743" s="38"/>
      <c r="U743" s="40"/>
      <c r="V743" s="40"/>
      <c r="W743" s="40"/>
      <c r="X743" s="41"/>
      <c r="Y743" s="37"/>
      <c r="Z743" s="37"/>
      <c r="AA743" s="37"/>
      <c r="AB743" s="37"/>
      <c r="AC743" s="37"/>
      <c r="AD743" s="40"/>
      <c r="AE743" s="40"/>
      <c r="AF743" s="40"/>
      <c r="AG743" s="42"/>
      <c r="AH743" s="36"/>
      <c r="AI743" s="36"/>
    </row>
    <row r="744" spans="1:35" x14ac:dyDescent="0.3">
      <c r="A744" s="32" t="str">
        <f t="shared" si="72"/>
        <v/>
      </c>
      <c r="B744" s="33" t="str">
        <f t="shared" si="73"/>
        <v/>
      </c>
      <c r="C744" s="33" t="str">
        <f t="shared" si="74"/>
        <v/>
      </c>
      <c r="D744" s="34"/>
      <c r="E744" s="33" t="str">
        <f t="shared" si="75"/>
        <v/>
      </c>
      <c r="F744" s="33" t="str">
        <f t="shared" si="76"/>
        <v/>
      </c>
      <c r="G744" s="35"/>
      <c r="H744" s="35"/>
      <c r="I744" s="33"/>
      <c r="J744" s="33" t="str">
        <f t="shared" si="77"/>
        <v/>
      </c>
      <c r="K744" s="36"/>
      <c r="L744" s="37"/>
      <c r="M744" s="37"/>
      <c r="N744" s="37"/>
      <c r="O744" s="37"/>
      <c r="P744" s="37"/>
      <c r="Q744" s="37"/>
      <c r="R744" s="37"/>
      <c r="S744" s="37"/>
      <c r="T744" s="38"/>
      <c r="U744" s="40"/>
      <c r="V744" s="40"/>
      <c r="W744" s="40"/>
      <c r="X744" s="41"/>
      <c r="Y744" s="37"/>
      <c r="Z744" s="37"/>
      <c r="AA744" s="37"/>
      <c r="AB744" s="37"/>
      <c r="AC744" s="37"/>
      <c r="AD744" s="40"/>
      <c r="AE744" s="40"/>
      <c r="AF744" s="40"/>
      <c r="AG744" s="42"/>
      <c r="AH744" s="36"/>
      <c r="AI744" s="36"/>
    </row>
    <row r="745" spans="1:35" x14ac:dyDescent="0.3">
      <c r="A745" s="32" t="str">
        <f t="shared" si="72"/>
        <v/>
      </c>
      <c r="B745" s="33" t="str">
        <f t="shared" si="73"/>
        <v/>
      </c>
      <c r="C745" s="33" t="str">
        <f t="shared" si="74"/>
        <v/>
      </c>
      <c r="D745" s="34"/>
      <c r="E745" s="33" t="str">
        <f t="shared" si="75"/>
        <v/>
      </c>
      <c r="F745" s="33" t="str">
        <f t="shared" si="76"/>
        <v/>
      </c>
      <c r="G745" s="35"/>
      <c r="H745" s="35"/>
      <c r="I745" s="33"/>
      <c r="J745" s="33" t="str">
        <f t="shared" si="77"/>
        <v/>
      </c>
      <c r="K745" s="36"/>
      <c r="L745" s="37"/>
      <c r="M745" s="37"/>
      <c r="N745" s="37"/>
      <c r="O745" s="37"/>
      <c r="P745" s="37"/>
      <c r="Q745" s="37"/>
      <c r="R745" s="37"/>
      <c r="S745" s="37"/>
      <c r="T745" s="38"/>
      <c r="U745" s="40"/>
      <c r="V745" s="40"/>
      <c r="W745" s="40"/>
      <c r="X745" s="41"/>
      <c r="Y745" s="37"/>
      <c r="Z745" s="37"/>
      <c r="AA745" s="37"/>
      <c r="AB745" s="37"/>
      <c r="AC745" s="37"/>
      <c r="AD745" s="40"/>
      <c r="AE745" s="40"/>
      <c r="AF745" s="40"/>
      <c r="AG745" s="42"/>
      <c r="AH745" s="36"/>
      <c r="AI745" s="36"/>
    </row>
    <row r="746" spans="1:35" x14ac:dyDescent="0.3">
      <c r="A746" s="32" t="str">
        <f t="shared" si="72"/>
        <v/>
      </c>
      <c r="B746" s="33" t="str">
        <f t="shared" si="73"/>
        <v/>
      </c>
      <c r="C746" s="33" t="str">
        <f t="shared" si="74"/>
        <v/>
      </c>
      <c r="D746" s="34"/>
      <c r="E746" s="33" t="str">
        <f t="shared" si="75"/>
        <v/>
      </c>
      <c r="F746" s="33" t="str">
        <f t="shared" si="76"/>
        <v/>
      </c>
      <c r="G746" s="35"/>
      <c r="H746" s="35"/>
      <c r="I746" s="33"/>
      <c r="J746" s="33" t="str">
        <f t="shared" si="77"/>
        <v/>
      </c>
      <c r="K746" s="36"/>
      <c r="L746" s="37"/>
      <c r="M746" s="37"/>
      <c r="N746" s="37"/>
      <c r="O746" s="37"/>
      <c r="P746" s="37"/>
      <c r="Q746" s="37"/>
      <c r="R746" s="37"/>
      <c r="S746" s="37"/>
      <c r="T746" s="38"/>
      <c r="U746" s="40"/>
      <c r="V746" s="40"/>
      <c r="W746" s="40"/>
      <c r="X746" s="41"/>
      <c r="Y746" s="37"/>
      <c r="Z746" s="37"/>
      <c r="AA746" s="37"/>
      <c r="AB746" s="37"/>
      <c r="AC746" s="37"/>
      <c r="AD746" s="40"/>
      <c r="AE746" s="40"/>
      <c r="AF746" s="40"/>
      <c r="AG746" s="42"/>
      <c r="AH746" s="36"/>
      <c r="AI746" s="36"/>
    </row>
    <row r="747" spans="1:35" x14ac:dyDescent="0.3">
      <c r="A747" s="32" t="str">
        <f t="shared" si="72"/>
        <v/>
      </c>
      <c r="B747" s="33" t="str">
        <f t="shared" si="73"/>
        <v/>
      </c>
      <c r="C747" s="33" t="str">
        <f t="shared" si="74"/>
        <v/>
      </c>
      <c r="D747" s="34"/>
      <c r="E747" s="33" t="str">
        <f t="shared" si="75"/>
        <v/>
      </c>
      <c r="F747" s="33" t="str">
        <f t="shared" si="76"/>
        <v/>
      </c>
      <c r="G747" s="35"/>
      <c r="H747" s="35"/>
      <c r="I747" s="33"/>
      <c r="J747" s="33" t="str">
        <f t="shared" si="77"/>
        <v/>
      </c>
      <c r="K747" s="36"/>
      <c r="L747" s="37"/>
      <c r="M747" s="37"/>
      <c r="N747" s="37"/>
      <c r="O747" s="37"/>
      <c r="P747" s="37"/>
      <c r="Q747" s="37"/>
      <c r="R747" s="37"/>
      <c r="S747" s="37"/>
      <c r="T747" s="38"/>
      <c r="U747" s="40"/>
      <c r="V747" s="40"/>
      <c r="W747" s="40"/>
      <c r="X747" s="41"/>
      <c r="Y747" s="37"/>
      <c r="Z747" s="37"/>
      <c r="AA747" s="37"/>
      <c r="AB747" s="37"/>
      <c r="AC747" s="37"/>
      <c r="AD747" s="40"/>
      <c r="AE747" s="40"/>
      <c r="AF747" s="40"/>
      <c r="AG747" s="42"/>
      <c r="AH747" s="36"/>
      <c r="AI747" s="36"/>
    </row>
    <row r="748" spans="1:35" x14ac:dyDescent="0.3">
      <c r="A748" s="32" t="str">
        <f t="shared" si="72"/>
        <v/>
      </c>
      <c r="B748" s="33" t="str">
        <f t="shared" si="73"/>
        <v/>
      </c>
      <c r="C748" s="33" t="str">
        <f t="shared" si="74"/>
        <v/>
      </c>
      <c r="D748" s="34"/>
      <c r="E748" s="33" t="str">
        <f t="shared" si="75"/>
        <v/>
      </c>
      <c r="F748" s="33" t="str">
        <f t="shared" si="76"/>
        <v/>
      </c>
      <c r="G748" s="35"/>
      <c r="H748" s="35"/>
      <c r="I748" s="33"/>
      <c r="J748" s="33" t="str">
        <f t="shared" si="77"/>
        <v/>
      </c>
      <c r="K748" s="36"/>
      <c r="L748" s="37"/>
      <c r="M748" s="37"/>
      <c r="N748" s="37"/>
      <c r="O748" s="37"/>
      <c r="P748" s="37"/>
      <c r="Q748" s="37"/>
      <c r="R748" s="37"/>
      <c r="S748" s="37"/>
      <c r="T748" s="38"/>
      <c r="U748" s="40"/>
      <c r="V748" s="40"/>
      <c r="W748" s="40"/>
      <c r="X748" s="41"/>
      <c r="Y748" s="37"/>
      <c r="Z748" s="37"/>
      <c r="AA748" s="37"/>
      <c r="AB748" s="37"/>
      <c r="AC748" s="37"/>
      <c r="AD748" s="40"/>
      <c r="AE748" s="40"/>
      <c r="AF748" s="40"/>
      <c r="AG748" s="42"/>
      <c r="AH748" s="36"/>
      <c r="AI748" s="36"/>
    </row>
    <row r="749" spans="1:35" x14ac:dyDescent="0.3">
      <c r="A749" s="32" t="str">
        <f t="shared" si="72"/>
        <v/>
      </c>
      <c r="B749" s="33" t="str">
        <f t="shared" si="73"/>
        <v/>
      </c>
      <c r="C749" s="33" t="str">
        <f t="shared" si="74"/>
        <v/>
      </c>
      <c r="D749" s="34"/>
      <c r="E749" s="33" t="str">
        <f t="shared" si="75"/>
        <v/>
      </c>
      <c r="F749" s="33" t="str">
        <f t="shared" si="76"/>
        <v/>
      </c>
      <c r="G749" s="35"/>
      <c r="H749" s="35"/>
      <c r="I749" s="33"/>
      <c r="J749" s="33" t="str">
        <f t="shared" si="77"/>
        <v/>
      </c>
      <c r="K749" s="36"/>
      <c r="L749" s="37"/>
      <c r="M749" s="37"/>
      <c r="N749" s="37"/>
      <c r="O749" s="37"/>
      <c r="P749" s="37"/>
      <c r="Q749" s="37"/>
      <c r="R749" s="37"/>
      <c r="S749" s="37"/>
      <c r="T749" s="38"/>
      <c r="U749" s="40"/>
      <c r="V749" s="40"/>
      <c r="W749" s="40"/>
      <c r="X749" s="41"/>
      <c r="Y749" s="37"/>
      <c r="Z749" s="37"/>
      <c r="AA749" s="37"/>
      <c r="AB749" s="37"/>
      <c r="AC749" s="37"/>
      <c r="AD749" s="40"/>
      <c r="AE749" s="40"/>
      <c r="AF749" s="40"/>
      <c r="AG749" s="42"/>
      <c r="AH749" s="36"/>
      <c r="AI749" s="36"/>
    </row>
    <row r="750" spans="1:35" x14ac:dyDescent="0.3">
      <c r="A750" s="32" t="str">
        <f t="shared" si="72"/>
        <v/>
      </c>
      <c r="B750" s="33" t="str">
        <f t="shared" si="73"/>
        <v/>
      </c>
      <c r="C750" s="33" t="str">
        <f t="shared" si="74"/>
        <v/>
      </c>
      <c r="D750" s="34"/>
      <c r="E750" s="33" t="str">
        <f t="shared" si="75"/>
        <v/>
      </c>
      <c r="F750" s="33" t="str">
        <f t="shared" si="76"/>
        <v/>
      </c>
      <c r="G750" s="35"/>
      <c r="H750" s="35"/>
      <c r="I750" s="33"/>
      <c r="J750" s="33" t="str">
        <f t="shared" si="77"/>
        <v/>
      </c>
      <c r="K750" s="36"/>
      <c r="L750" s="37"/>
      <c r="M750" s="37"/>
      <c r="N750" s="37"/>
      <c r="O750" s="37"/>
      <c r="P750" s="37"/>
      <c r="Q750" s="37"/>
      <c r="R750" s="37"/>
      <c r="S750" s="37"/>
      <c r="T750" s="38"/>
      <c r="U750" s="40"/>
      <c r="V750" s="40"/>
      <c r="W750" s="40"/>
      <c r="X750" s="41"/>
      <c r="Y750" s="37"/>
      <c r="Z750" s="37"/>
      <c r="AA750" s="37"/>
      <c r="AB750" s="37"/>
      <c r="AC750" s="37"/>
      <c r="AD750" s="40"/>
      <c r="AE750" s="40"/>
      <c r="AF750" s="40"/>
      <c r="AG750" s="42"/>
      <c r="AH750" s="36"/>
      <c r="AI750" s="36"/>
    </row>
    <row r="751" spans="1:35" x14ac:dyDescent="0.3">
      <c r="A751" s="32" t="str">
        <f t="shared" si="72"/>
        <v/>
      </c>
      <c r="B751" s="33" t="str">
        <f t="shared" si="73"/>
        <v/>
      </c>
      <c r="C751" s="33" t="str">
        <f t="shared" si="74"/>
        <v/>
      </c>
      <c r="D751" s="34"/>
      <c r="E751" s="33" t="str">
        <f t="shared" si="75"/>
        <v/>
      </c>
      <c r="F751" s="33" t="str">
        <f t="shared" si="76"/>
        <v/>
      </c>
      <c r="G751" s="35"/>
      <c r="H751" s="35"/>
      <c r="I751" s="33"/>
      <c r="J751" s="33" t="str">
        <f t="shared" si="77"/>
        <v/>
      </c>
      <c r="K751" s="36"/>
      <c r="L751" s="37"/>
      <c r="M751" s="37"/>
      <c r="N751" s="37"/>
      <c r="O751" s="37"/>
      <c r="P751" s="37"/>
      <c r="Q751" s="37"/>
      <c r="R751" s="37"/>
      <c r="S751" s="37"/>
      <c r="T751" s="38"/>
      <c r="U751" s="40"/>
      <c r="V751" s="40"/>
      <c r="W751" s="40"/>
      <c r="X751" s="41"/>
      <c r="Y751" s="37"/>
      <c r="Z751" s="37"/>
      <c r="AA751" s="37"/>
      <c r="AB751" s="37"/>
      <c r="AC751" s="37"/>
      <c r="AD751" s="40"/>
      <c r="AE751" s="40"/>
      <c r="AF751" s="40"/>
      <c r="AG751" s="42"/>
      <c r="AH751" s="36"/>
      <c r="AI751" s="36"/>
    </row>
    <row r="752" spans="1:35" x14ac:dyDescent="0.3">
      <c r="A752" s="32" t="str">
        <f t="shared" si="72"/>
        <v/>
      </c>
      <c r="B752" s="33" t="str">
        <f t="shared" si="73"/>
        <v/>
      </c>
      <c r="C752" s="33" t="str">
        <f t="shared" si="74"/>
        <v/>
      </c>
      <c r="D752" s="34"/>
      <c r="E752" s="33" t="str">
        <f t="shared" si="75"/>
        <v/>
      </c>
      <c r="F752" s="33" t="str">
        <f t="shared" si="76"/>
        <v/>
      </c>
      <c r="G752" s="35"/>
      <c r="H752" s="35"/>
      <c r="I752" s="33"/>
      <c r="J752" s="33" t="str">
        <f t="shared" si="77"/>
        <v/>
      </c>
      <c r="K752" s="36"/>
      <c r="L752" s="37"/>
      <c r="M752" s="37"/>
      <c r="N752" s="37"/>
      <c r="O752" s="37"/>
      <c r="P752" s="37"/>
      <c r="Q752" s="37"/>
      <c r="R752" s="37"/>
      <c r="S752" s="37"/>
      <c r="T752" s="38"/>
      <c r="U752" s="40"/>
      <c r="V752" s="40"/>
      <c r="W752" s="40"/>
      <c r="X752" s="41"/>
      <c r="Y752" s="37"/>
      <c r="Z752" s="37"/>
      <c r="AA752" s="37"/>
      <c r="AB752" s="37"/>
      <c r="AC752" s="37"/>
      <c r="AD752" s="40"/>
      <c r="AE752" s="40"/>
      <c r="AF752" s="40"/>
      <c r="AG752" s="42"/>
      <c r="AH752" s="36"/>
      <c r="AI752" s="36"/>
    </row>
    <row r="753" spans="1:35" x14ac:dyDescent="0.3">
      <c r="A753" s="32" t="str">
        <f t="shared" si="72"/>
        <v/>
      </c>
      <c r="B753" s="33" t="str">
        <f t="shared" si="73"/>
        <v/>
      </c>
      <c r="C753" s="33" t="str">
        <f t="shared" si="74"/>
        <v/>
      </c>
      <c r="D753" s="34"/>
      <c r="E753" s="33" t="str">
        <f t="shared" si="75"/>
        <v/>
      </c>
      <c r="F753" s="33" t="str">
        <f t="shared" si="76"/>
        <v/>
      </c>
      <c r="G753" s="35"/>
      <c r="H753" s="35"/>
      <c r="I753" s="33"/>
      <c r="J753" s="33" t="str">
        <f t="shared" si="77"/>
        <v/>
      </c>
      <c r="K753" s="36"/>
      <c r="L753" s="37"/>
      <c r="M753" s="37"/>
      <c r="N753" s="37"/>
      <c r="O753" s="37"/>
      <c r="P753" s="37"/>
      <c r="Q753" s="37"/>
      <c r="R753" s="37"/>
      <c r="S753" s="37"/>
      <c r="T753" s="38"/>
      <c r="U753" s="40"/>
      <c r="V753" s="40"/>
      <c r="W753" s="40"/>
      <c r="X753" s="41"/>
      <c r="Y753" s="37"/>
      <c r="Z753" s="37"/>
      <c r="AA753" s="37"/>
      <c r="AB753" s="37"/>
      <c r="AC753" s="37"/>
      <c r="AD753" s="40"/>
      <c r="AE753" s="40"/>
      <c r="AF753" s="40"/>
      <c r="AG753" s="42"/>
      <c r="AH753" s="36"/>
      <c r="AI753" s="36"/>
    </row>
    <row r="754" spans="1:35" x14ac:dyDescent="0.3">
      <c r="A754" s="32" t="str">
        <f t="shared" si="72"/>
        <v/>
      </c>
      <c r="B754" s="33" t="str">
        <f t="shared" si="73"/>
        <v/>
      </c>
      <c r="C754" s="33" t="str">
        <f t="shared" si="74"/>
        <v/>
      </c>
      <c r="D754" s="34"/>
      <c r="E754" s="33" t="str">
        <f t="shared" si="75"/>
        <v/>
      </c>
      <c r="F754" s="33" t="str">
        <f t="shared" si="76"/>
        <v/>
      </c>
      <c r="G754" s="35"/>
      <c r="H754" s="35"/>
      <c r="I754" s="33"/>
      <c r="J754" s="33" t="str">
        <f t="shared" si="77"/>
        <v/>
      </c>
      <c r="K754" s="36"/>
      <c r="L754" s="37"/>
      <c r="M754" s="37"/>
      <c r="N754" s="37"/>
      <c r="O754" s="37"/>
      <c r="P754" s="37"/>
      <c r="Q754" s="37"/>
      <c r="R754" s="37"/>
      <c r="S754" s="37"/>
      <c r="T754" s="38"/>
      <c r="U754" s="40"/>
      <c r="V754" s="40"/>
      <c r="W754" s="40"/>
      <c r="X754" s="41"/>
      <c r="Y754" s="37"/>
      <c r="Z754" s="37"/>
      <c r="AA754" s="37"/>
      <c r="AB754" s="37"/>
      <c r="AC754" s="37"/>
      <c r="AD754" s="40"/>
      <c r="AE754" s="40"/>
      <c r="AF754" s="40"/>
      <c r="AG754" s="42"/>
      <c r="AH754" s="36"/>
      <c r="AI754" s="36"/>
    </row>
    <row r="755" spans="1:35" x14ac:dyDescent="0.3">
      <c r="A755" s="32" t="str">
        <f t="shared" si="72"/>
        <v/>
      </c>
      <c r="B755" s="33" t="str">
        <f t="shared" si="73"/>
        <v/>
      </c>
      <c r="C755" s="33" t="str">
        <f t="shared" si="74"/>
        <v/>
      </c>
      <c r="D755" s="34"/>
      <c r="E755" s="33" t="str">
        <f t="shared" si="75"/>
        <v/>
      </c>
      <c r="F755" s="33" t="str">
        <f t="shared" si="76"/>
        <v/>
      </c>
      <c r="G755" s="35"/>
      <c r="H755" s="35"/>
      <c r="I755" s="33"/>
      <c r="J755" s="33" t="str">
        <f t="shared" si="77"/>
        <v/>
      </c>
      <c r="K755" s="36"/>
      <c r="L755" s="37"/>
      <c r="M755" s="37"/>
      <c r="N755" s="37"/>
      <c r="O755" s="37"/>
      <c r="P755" s="37"/>
      <c r="Q755" s="37"/>
      <c r="R755" s="37"/>
      <c r="S755" s="37"/>
      <c r="T755" s="38"/>
      <c r="U755" s="40"/>
      <c r="V755" s="40"/>
      <c r="W755" s="40"/>
      <c r="X755" s="41"/>
      <c r="Y755" s="37"/>
      <c r="Z755" s="37"/>
      <c r="AA755" s="37"/>
      <c r="AB755" s="37"/>
      <c r="AC755" s="37"/>
      <c r="AD755" s="40"/>
      <c r="AE755" s="40"/>
      <c r="AF755" s="40"/>
      <c r="AG755" s="42"/>
      <c r="AH755" s="36"/>
      <c r="AI755" s="36"/>
    </row>
    <row r="756" spans="1:35" x14ac:dyDescent="0.3">
      <c r="A756" s="32" t="str">
        <f t="shared" si="72"/>
        <v/>
      </c>
      <c r="B756" s="33" t="str">
        <f t="shared" si="73"/>
        <v/>
      </c>
      <c r="C756" s="33" t="str">
        <f t="shared" si="74"/>
        <v/>
      </c>
      <c r="D756" s="34"/>
      <c r="E756" s="33" t="str">
        <f t="shared" si="75"/>
        <v/>
      </c>
      <c r="F756" s="33" t="str">
        <f t="shared" si="76"/>
        <v/>
      </c>
      <c r="G756" s="35"/>
      <c r="H756" s="35"/>
      <c r="I756" s="33"/>
      <c r="J756" s="33" t="str">
        <f t="shared" si="77"/>
        <v/>
      </c>
      <c r="K756" s="36"/>
      <c r="L756" s="37"/>
      <c r="M756" s="37"/>
      <c r="N756" s="37"/>
      <c r="O756" s="37"/>
      <c r="P756" s="37"/>
      <c r="Q756" s="37"/>
      <c r="R756" s="37"/>
      <c r="S756" s="37"/>
      <c r="T756" s="38"/>
      <c r="U756" s="40"/>
      <c r="V756" s="40"/>
      <c r="W756" s="40"/>
      <c r="X756" s="41"/>
      <c r="Y756" s="37"/>
      <c r="Z756" s="37"/>
      <c r="AA756" s="37"/>
      <c r="AB756" s="37"/>
      <c r="AC756" s="37"/>
      <c r="AD756" s="40"/>
      <c r="AE756" s="40"/>
      <c r="AF756" s="40"/>
      <c r="AG756" s="42"/>
      <c r="AH756" s="36"/>
      <c r="AI756" s="36"/>
    </row>
    <row r="757" spans="1:35" x14ac:dyDescent="0.3">
      <c r="A757" s="32" t="str">
        <f t="shared" si="72"/>
        <v/>
      </c>
      <c r="B757" s="33" t="str">
        <f t="shared" si="73"/>
        <v/>
      </c>
      <c r="C757" s="33" t="str">
        <f t="shared" si="74"/>
        <v/>
      </c>
      <c r="D757" s="34"/>
      <c r="E757" s="33" t="str">
        <f t="shared" si="75"/>
        <v/>
      </c>
      <c r="F757" s="33" t="str">
        <f t="shared" si="76"/>
        <v/>
      </c>
      <c r="G757" s="35"/>
      <c r="H757" s="35"/>
      <c r="I757" s="33"/>
      <c r="J757" s="33" t="str">
        <f t="shared" si="77"/>
        <v/>
      </c>
      <c r="K757" s="36"/>
      <c r="L757" s="37"/>
      <c r="M757" s="37"/>
      <c r="N757" s="37"/>
      <c r="O757" s="37"/>
      <c r="P757" s="37"/>
      <c r="Q757" s="37"/>
      <c r="R757" s="37"/>
      <c r="S757" s="37"/>
      <c r="T757" s="38"/>
      <c r="U757" s="40"/>
      <c r="V757" s="40"/>
      <c r="W757" s="40"/>
      <c r="X757" s="41"/>
      <c r="Y757" s="37"/>
      <c r="Z757" s="37"/>
      <c r="AA757" s="37"/>
      <c r="AB757" s="37"/>
      <c r="AC757" s="37"/>
      <c r="AD757" s="40"/>
      <c r="AE757" s="40"/>
      <c r="AF757" s="40"/>
      <c r="AG757" s="42"/>
      <c r="AH757" s="36"/>
      <c r="AI757" s="36"/>
    </row>
    <row r="758" spans="1:35" x14ac:dyDescent="0.3">
      <c r="A758" s="32" t="str">
        <f t="shared" si="72"/>
        <v/>
      </c>
      <c r="B758" s="33" t="str">
        <f t="shared" si="73"/>
        <v/>
      </c>
      <c r="C758" s="33" t="str">
        <f t="shared" si="74"/>
        <v/>
      </c>
      <c r="D758" s="34"/>
      <c r="E758" s="33" t="str">
        <f t="shared" si="75"/>
        <v/>
      </c>
      <c r="F758" s="33" t="str">
        <f t="shared" si="76"/>
        <v/>
      </c>
      <c r="G758" s="35"/>
      <c r="H758" s="35"/>
      <c r="I758" s="33"/>
      <c r="J758" s="33" t="str">
        <f t="shared" si="77"/>
        <v/>
      </c>
      <c r="K758" s="36"/>
      <c r="L758" s="37"/>
      <c r="M758" s="37"/>
      <c r="N758" s="37"/>
      <c r="O758" s="37"/>
      <c r="P758" s="37"/>
      <c r="Q758" s="37"/>
      <c r="R758" s="37"/>
      <c r="S758" s="37"/>
      <c r="T758" s="38"/>
      <c r="U758" s="40"/>
      <c r="V758" s="40"/>
      <c r="W758" s="40"/>
      <c r="X758" s="41"/>
      <c r="Y758" s="37"/>
      <c r="Z758" s="37"/>
      <c r="AA758" s="37"/>
      <c r="AB758" s="37"/>
      <c r="AC758" s="37"/>
      <c r="AD758" s="40"/>
      <c r="AE758" s="40"/>
      <c r="AF758" s="40"/>
      <c r="AG758" s="42"/>
      <c r="AH758" s="36"/>
      <c r="AI758" s="36"/>
    </row>
    <row r="759" spans="1:35" x14ac:dyDescent="0.3">
      <c r="A759" s="32" t="str">
        <f t="shared" si="72"/>
        <v/>
      </c>
      <c r="B759" s="33" t="str">
        <f t="shared" si="73"/>
        <v/>
      </c>
      <c r="C759" s="33" t="str">
        <f t="shared" si="74"/>
        <v/>
      </c>
      <c r="D759" s="34"/>
      <c r="E759" s="33" t="str">
        <f t="shared" si="75"/>
        <v/>
      </c>
      <c r="F759" s="33" t="str">
        <f t="shared" si="76"/>
        <v/>
      </c>
      <c r="G759" s="35"/>
      <c r="H759" s="35"/>
      <c r="I759" s="33"/>
      <c r="J759" s="33" t="str">
        <f t="shared" si="77"/>
        <v/>
      </c>
      <c r="K759" s="36"/>
      <c r="L759" s="37"/>
      <c r="M759" s="37"/>
      <c r="N759" s="37"/>
      <c r="O759" s="37"/>
      <c r="P759" s="37"/>
      <c r="Q759" s="37"/>
      <c r="R759" s="37"/>
      <c r="S759" s="37"/>
      <c r="T759" s="38"/>
      <c r="U759" s="40"/>
      <c r="V759" s="40"/>
      <c r="W759" s="40"/>
      <c r="X759" s="41"/>
      <c r="Y759" s="37"/>
      <c r="Z759" s="37"/>
      <c r="AA759" s="37"/>
      <c r="AB759" s="37"/>
      <c r="AC759" s="37"/>
      <c r="AD759" s="40"/>
      <c r="AE759" s="40"/>
      <c r="AF759" s="40"/>
      <c r="AG759" s="42"/>
      <c r="AH759" s="36"/>
      <c r="AI759" s="36"/>
    </row>
    <row r="760" spans="1:35" x14ac:dyDescent="0.3">
      <c r="A760" s="32" t="str">
        <f t="shared" si="72"/>
        <v/>
      </c>
      <c r="B760" s="33" t="str">
        <f t="shared" si="73"/>
        <v/>
      </c>
      <c r="C760" s="33" t="str">
        <f t="shared" si="74"/>
        <v/>
      </c>
      <c r="D760" s="34"/>
      <c r="E760" s="33" t="str">
        <f t="shared" si="75"/>
        <v/>
      </c>
      <c r="F760" s="33" t="str">
        <f t="shared" si="76"/>
        <v/>
      </c>
      <c r="G760" s="35"/>
      <c r="H760" s="35"/>
      <c r="I760" s="33"/>
      <c r="J760" s="33" t="str">
        <f t="shared" si="77"/>
        <v/>
      </c>
      <c r="K760" s="36"/>
      <c r="L760" s="37"/>
      <c r="M760" s="37"/>
      <c r="N760" s="37"/>
      <c r="O760" s="37"/>
      <c r="P760" s="37"/>
      <c r="Q760" s="37"/>
      <c r="R760" s="37"/>
      <c r="S760" s="37"/>
      <c r="T760" s="38"/>
      <c r="U760" s="40"/>
      <c r="V760" s="40"/>
      <c r="W760" s="40"/>
      <c r="X760" s="41"/>
      <c r="Y760" s="37"/>
      <c r="Z760" s="37"/>
      <c r="AA760" s="37"/>
      <c r="AB760" s="37"/>
      <c r="AC760" s="37"/>
      <c r="AD760" s="40"/>
      <c r="AE760" s="40"/>
      <c r="AF760" s="40"/>
      <c r="AG760" s="42"/>
      <c r="AH760" s="36"/>
      <c r="AI760" s="36"/>
    </row>
    <row r="761" spans="1:35" x14ac:dyDescent="0.3">
      <c r="A761" s="32" t="str">
        <f t="shared" si="72"/>
        <v/>
      </c>
      <c r="B761" s="33" t="str">
        <f t="shared" si="73"/>
        <v/>
      </c>
      <c r="C761" s="33" t="str">
        <f t="shared" si="74"/>
        <v/>
      </c>
      <c r="D761" s="34"/>
      <c r="E761" s="33" t="str">
        <f t="shared" si="75"/>
        <v/>
      </c>
      <c r="F761" s="33" t="str">
        <f t="shared" si="76"/>
        <v/>
      </c>
      <c r="G761" s="35"/>
      <c r="H761" s="35"/>
      <c r="I761" s="33"/>
      <c r="J761" s="33" t="str">
        <f t="shared" si="77"/>
        <v/>
      </c>
      <c r="K761" s="36"/>
      <c r="L761" s="37"/>
      <c r="M761" s="37"/>
      <c r="N761" s="37"/>
      <c r="O761" s="37"/>
      <c r="P761" s="37"/>
      <c r="Q761" s="37"/>
      <c r="R761" s="37"/>
      <c r="S761" s="37"/>
      <c r="T761" s="38"/>
      <c r="U761" s="40"/>
      <c r="V761" s="40"/>
      <c r="W761" s="40"/>
      <c r="X761" s="41"/>
      <c r="Y761" s="37"/>
      <c r="Z761" s="37"/>
      <c r="AA761" s="37"/>
      <c r="AB761" s="37"/>
      <c r="AC761" s="37"/>
      <c r="AD761" s="40"/>
      <c r="AE761" s="40"/>
      <c r="AF761" s="40"/>
      <c r="AG761" s="42"/>
      <c r="AH761" s="36"/>
      <c r="AI761" s="36"/>
    </row>
    <row r="762" spans="1:35" x14ac:dyDescent="0.3">
      <c r="A762" s="32" t="str">
        <f t="shared" si="72"/>
        <v/>
      </c>
      <c r="B762" s="33" t="str">
        <f t="shared" si="73"/>
        <v/>
      </c>
      <c r="C762" s="33" t="str">
        <f t="shared" si="74"/>
        <v/>
      </c>
      <c r="D762" s="34"/>
      <c r="E762" s="33" t="str">
        <f t="shared" si="75"/>
        <v/>
      </c>
      <c r="F762" s="33" t="str">
        <f t="shared" si="76"/>
        <v/>
      </c>
      <c r="G762" s="35"/>
      <c r="H762" s="35"/>
      <c r="I762" s="33"/>
      <c r="J762" s="33" t="str">
        <f t="shared" si="77"/>
        <v/>
      </c>
      <c r="K762" s="36"/>
      <c r="L762" s="37"/>
      <c r="M762" s="37"/>
      <c r="N762" s="37"/>
      <c r="O762" s="37"/>
      <c r="P762" s="37"/>
      <c r="Q762" s="37"/>
      <c r="R762" s="37"/>
      <c r="S762" s="37"/>
      <c r="T762" s="38"/>
      <c r="U762" s="40"/>
      <c r="V762" s="40"/>
      <c r="W762" s="40"/>
      <c r="X762" s="41"/>
      <c r="Y762" s="37"/>
      <c r="Z762" s="37"/>
      <c r="AA762" s="37"/>
      <c r="AB762" s="37"/>
      <c r="AC762" s="37"/>
      <c r="AD762" s="40"/>
      <c r="AE762" s="40"/>
      <c r="AF762" s="40"/>
      <c r="AG762" s="42"/>
      <c r="AH762" s="36"/>
      <c r="AI762" s="36"/>
    </row>
    <row r="763" spans="1:35" x14ac:dyDescent="0.3">
      <c r="A763" s="32" t="str">
        <f t="shared" si="72"/>
        <v/>
      </c>
      <c r="B763" s="33" t="str">
        <f t="shared" si="73"/>
        <v/>
      </c>
      <c r="C763" s="33" t="str">
        <f t="shared" si="74"/>
        <v/>
      </c>
      <c r="D763" s="34"/>
      <c r="E763" s="33" t="str">
        <f t="shared" si="75"/>
        <v/>
      </c>
      <c r="F763" s="33" t="str">
        <f t="shared" si="76"/>
        <v/>
      </c>
      <c r="G763" s="35"/>
      <c r="H763" s="35"/>
      <c r="I763" s="33"/>
      <c r="J763" s="33" t="str">
        <f t="shared" si="77"/>
        <v/>
      </c>
      <c r="K763" s="36"/>
      <c r="L763" s="37"/>
      <c r="M763" s="37"/>
      <c r="N763" s="37"/>
      <c r="O763" s="37"/>
      <c r="P763" s="37"/>
      <c r="Q763" s="37"/>
      <c r="R763" s="37"/>
      <c r="S763" s="37"/>
      <c r="T763" s="38"/>
      <c r="U763" s="40"/>
      <c r="V763" s="40"/>
      <c r="W763" s="40"/>
      <c r="X763" s="41"/>
      <c r="Y763" s="37"/>
      <c r="Z763" s="37"/>
      <c r="AA763" s="37"/>
      <c r="AB763" s="37"/>
      <c r="AC763" s="37"/>
      <c r="AD763" s="40"/>
      <c r="AE763" s="40"/>
      <c r="AF763" s="40"/>
      <c r="AG763" s="42"/>
      <c r="AH763" s="36"/>
      <c r="AI763" s="36"/>
    </row>
    <row r="764" spans="1:35" x14ac:dyDescent="0.3">
      <c r="A764" s="32" t="str">
        <f t="shared" si="72"/>
        <v/>
      </c>
      <c r="B764" s="33" t="str">
        <f t="shared" si="73"/>
        <v/>
      </c>
      <c r="C764" s="33" t="str">
        <f t="shared" si="74"/>
        <v/>
      </c>
      <c r="D764" s="34"/>
      <c r="E764" s="33" t="str">
        <f t="shared" si="75"/>
        <v/>
      </c>
      <c r="F764" s="33" t="str">
        <f t="shared" si="76"/>
        <v/>
      </c>
      <c r="G764" s="35"/>
      <c r="H764" s="35"/>
      <c r="I764" s="33"/>
      <c r="J764" s="33" t="str">
        <f t="shared" si="77"/>
        <v/>
      </c>
      <c r="K764" s="36"/>
      <c r="L764" s="37"/>
      <c r="M764" s="37"/>
      <c r="N764" s="37"/>
      <c r="O764" s="37"/>
      <c r="P764" s="37"/>
      <c r="Q764" s="37"/>
      <c r="R764" s="37"/>
      <c r="S764" s="37"/>
      <c r="T764" s="38"/>
      <c r="U764" s="40"/>
      <c r="V764" s="40"/>
      <c r="W764" s="40"/>
      <c r="X764" s="41"/>
      <c r="Y764" s="37"/>
      <c r="Z764" s="37"/>
      <c r="AA764" s="37"/>
      <c r="AB764" s="37"/>
      <c r="AC764" s="37"/>
      <c r="AD764" s="40"/>
      <c r="AE764" s="40"/>
      <c r="AF764" s="40"/>
      <c r="AG764" s="42"/>
      <c r="AH764" s="36"/>
      <c r="AI764" s="36"/>
    </row>
    <row r="765" spans="1:35" x14ac:dyDescent="0.3">
      <c r="A765" s="32" t="str">
        <f t="shared" si="72"/>
        <v/>
      </c>
      <c r="B765" s="33" t="str">
        <f t="shared" si="73"/>
        <v/>
      </c>
      <c r="C765" s="33" t="str">
        <f t="shared" si="74"/>
        <v/>
      </c>
      <c r="D765" s="34"/>
      <c r="E765" s="33" t="str">
        <f t="shared" si="75"/>
        <v/>
      </c>
      <c r="F765" s="33" t="str">
        <f t="shared" si="76"/>
        <v/>
      </c>
      <c r="G765" s="35"/>
      <c r="H765" s="35"/>
      <c r="I765" s="33"/>
      <c r="J765" s="33" t="str">
        <f t="shared" si="77"/>
        <v/>
      </c>
      <c r="K765" s="36"/>
      <c r="L765" s="37"/>
      <c r="M765" s="37"/>
      <c r="N765" s="37"/>
      <c r="O765" s="37"/>
      <c r="P765" s="37"/>
      <c r="Q765" s="37"/>
      <c r="R765" s="37"/>
      <c r="S765" s="37"/>
      <c r="T765" s="38"/>
      <c r="U765" s="40"/>
      <c r="V765" s="40"/>
      <c r="W765" s="40"/>
      <c r="X765" s="41"/>
      <c r="Y765" s="37"/>
      <c r="Z765" s="37"/>
      <c r="AA765" s="37"/>
      <c r="AB765" s="37"/>
      <c r="AC765" s="37"/>
      <c r="AD765" s="40"/>
      <c r="AE765" s="40"/>
      <c r="AF765" s="40"/>
      <c r="AG765" s="42"/>
      <c r="AH765" s="36"/>
      <c r="AI765" s="36"/>
    </row>
    <row r="766" spans="1:35" x14ac:dyDescent="0.3">
      <c r="A766" s="32" t="str">
        <f t="shared" si="72"/>
        <v/>
      </c>
      <c r="B766" s="33" t="str">
        <f t="shared" si="73"/>
        <v/>
      </c>
      <c r="C766" s="33" t="str">
        <f t="shared" si="74"/>
        <v/>
      </c>
      <c r="D766" s="34"/>
      <c r="E766" s="33" t="str">
        <f t="shared" si="75"/>
        <v/>
      </c>
      <c r="F766" s="33" t="str">
        <f t="shared" si="76"/>
        <v/>
      </c>
      <c r="G766" s="35"/>
      <c r="H766" s="35"/>
      <c r="I766" s="33"/>
      <c r="J766" s="33" t="str">
        <f t="shared" si="77"/>
        <v/>
      </c>
      <c r="K766" s="36"/>
      <c r="L766" s="37"/>
      <c r="M766" s="37"/>
      <c r="N766" s="37"/>
      <c r="O766" s="37"/>
      <c r="P766" s="37"/>
      <c r="Q766" s="37"/>
      <c r="R766" s="37"/>
      <c r="S766" s="37"/>
      <c r="T766" s="38"/>
      <c r="U766" s="40"/>
      <c r="V766" s="40"/>
      <c r="W766" s="40"/>
      <c r="X766" s="41"/>
      <c r="Y766" s="37"/>
      <c r="Z766" s="37"/>
      <c r="AA766" s="37"/>
      <c r="AB766" s="37"/>
      <c r="AC766" s="37"/>
      <c r="AD766" s="40"/>
      <c r="AE766" s="40"/>
      <c r="AF766" s="40"/>
      <c r="AG766" s="42"/>
      <c r="AH766" s="36"/>
      <c r="AI766" s="36"/>
    </row>
    <row r="767" spans="1:35" x14ac:dyDescent="0.3">
      <c r="A767" s="32" t="str">
        <f t="shared" si="72"/>
        <v/>
      </c>
      <c r="B767" s="33" t="str">
        <f t="shared" si="73"/>
        <v/>
      </c>
      <c r="C767" s="33" t="str">
        <f t="shared" si="74"/>
        <v/>
      </c>
      <c r="D767" s="34"/>
      <c r="E767" s="33" t="str">
        <f t="shared" si="75"/>
        <v/>
      </c>
      <c r="F767" s="33" t="str">
        <f t="shared" si="76"/>
        <v/>
      </c>
      <c r="G767" s="35"/>
      <c r="H767" s="35"/>
      <c r="I767" s="33"/>
      <c r="J767" s="33" t="str">
        <f t="shared" si="77"/>
        <v/>
      </c>
      <c r="K767" s="36"/>
      <c r="L767" s="37"/>
      <c r="M767" s="37"/>
      <c r="N767" s="37"/>
      <c r="O767" s="37"/>
      <c r="P767" s="37"/>
      <c r="Q767" s="37"/>
      <c r="R767" s="37"/>
      <c r="S767" s="37"/>
      <c r="T767" s="38"/>
      <c r="U767" s="40"/>
      <c r="V767" s="40"/>
      <c r="W767" s="40"/>
      <c r="X767" s="41"/>
      <c r="Y767" s="37"/>
      <c r="Z767" s="37"/>
      <c r="AA767" s="37"/>
      <c r="AB767" s="37"/>
      <c r="AC767" s="37"/>
      <c r="AD767" s="40"/>
      <c r="AE767" s="40"/>
      <c r="AF767" s="40"/>
      <c r="AG767" s="42"/>
      <c r="AH767" s="36"/>
      <c r="AI767" s="36"/>
    </row>
    <row r="768" spans="1:35" x14ac:dyDescent="0.3">
      <c r="A768" s="32" t="str">
        <f t="shared" si="72"/>
        <v/>
      </c>
      <c r="B768" s="33" t="str">
        <f t="shared" si="73"/>
        <v/>
      </c>
      <c r="C768" s="33" t="str">
        <f t="shared" si="74"/>
        <v/>
      </c>
      <c r="D768" s="34"/>
      <c r="E768" s="33" t="str">
        <f t="shared" si="75"/>
        <v/>
      </c>
      <c r="F768" s="33" t="str">
        <f t="shared" si="76"/>
        <v/>
      </c>
      <c r="G768" s="35"/>
      <c r="H768" s="35"/>
      <c r="I768" s="33"/>
      <c r="J768" s="33" t="str">
        <f t="shared" si="77"/>
        <v/>
      </c>
      <c r="K768" s="36"/>
      <c r="L768" s="37"/>
      <c r="M768" s="37"/>
      <c r="N768" s="37"/>
      <c r="O768" s="37"/>
      <c r="P768" s="37"/>
      <c r="Q768" s="37"/>
      <c r="R768" s="37"/>
      <c r="S768" s="37"/>
      <c r="T768" s="38"/>
      <c r="U768" s="40"/>
      <c r="V768" s="40"/>
      <c r="W768" s="40"/>
      <c r="X768" s="41"/>
      <c r="Y768" s="37"/>
      <c r="Z768" s="37"/>
      <c r="AA768" s="37"/>
      <c r="AB768" s="37"/>
      <c r="AC768" s="37"/>
      <c r="AD768" s="40"/>
      <c r="AE768" s="40"/>
      <c r="AF768" s="40"/>
      <c r="AG768" s="42"/>
      <c r="AH768" s="36"/>
      <c r="AI768" s="36"/>
    </row>
    <row r="769" spans="1:35" x14ac:dyDescent="0.3">
      <c r="A769" s="32" t="str">
        <f t="shared" si="72"/>
        <v/>
      </c>
      <c r="B769" s="33" t="str">
        <f t="shared" si="73"/>
        <v/>
      </c>
      <c r="C769" s="33" t="str">
        <f t="shared" si="74"/>
        <v/>
      </c>
      <c r="D769" s="34"/>
      <c r="E769" s="33" t="str">
        <f t="shared" si="75"/>
        <v/>
      </c>
      <c r="F769" s="33" t="str">
        <f t="shared" si="76"/>
        <v/>
      </c>
      <c r="G769" s="35"/>
      <c r="H769" s="35"/>
      <c r="I769" s="33"/>
      <c r="J769" s="33" t="str">
        <f t="shared" si="77"/>
        <v/>
      </c>
      <c r="K769" s="36"/>
      <c r="L769" s="37"/>
      <c r="M769" s="37"/>
      <c r="N769" s="37"/>
      <c r="O769" s="37"/>
      <c r="P769" s="37"/>
      <c r="Q769" s="37"/>
      <c r="R769" s="37"/>
      <c r="S769" s="37"/>
      <c r="T769" s="38"/>
      <c r="U769" s="40"/>
      <c r="V769" s="40"/>
      <c r="W769" s="40"/>
      <c r="X769" s="41"/>
      <c r="Y769" s="37"/>
      <c r="Z769" s="37"/>
      <c r="AA769" s="37"/>
      <c r="AB769" s="37"/>
      <c r="AC769" s="37"/>
      <c r="AD769" s="40"/>
      <c r="AE769" s="40"/>
      <c r="AF769" s="40"/>
      <c r="AG769" s="42"/>
      <c r="AH769" s="36"/>
      <c r="AI769" s="36"/>
    </row>
    <row r="770" spans="1:35" x14ac:dyDescent="0.3">
      <c r="A770" s="32" t="str">
        <f t="shared" si="72"/>
        <v/>
      </c>
      <c r="B770" s="33" t="str">
        <f t="shared" si="73"/>
        <v/>
      </c>
      <c r="C770" s="33" t="str">
        <f t="shared" si="74"/>
        <v/>
      </c>
      <c r="D770" s="34"/>
      <c r="E770" s="33" t="str">
        <f t="shared" si="75"/>
        <v/>
      </c>
      <c r="F770" s="33" t="str">
        <f t="shared" si="76"/>
        <v/>
      </c>
      <c r="G770" s="35"/>
      <c r="H770" s="35"/>
      <c r="I770" s="33"/>
      <c r="J770" s="33" t="str">
        <f t="shared" si="77"/>
        <v/>
      </c>
      <c r="K770" s="36"/>
      <c r="L770" s="37"/>
      <c r="M770" s="37"/>
      <c r="N770" s="37"/>
      <c r="O770" s="37"/>
      <c r="P770" s="37"/>
      <c r="Q770" s="37"/>
      <c r="R770" s="37"/>
      <c r="S770" s="37"/>
      <c r="T770" s="38"/>
      <c r="U770" s="40"/>
      <c r="V770" s="40"/>
      <c r="W770" s="40"/>
      <c r="X770" s="41"/>
      <c r="Y770" s="37"/>
      <c r="Z770" s="37"/>
      <c r="AA770" s="37"/>
      <c r="AB770" s="37"/>
      <c r="AC770" s="37"/>
      <c r="AD770" s="40"/>
      <c r="AE770" s="40"/>
      <c r="AF770" s="40"/>
      <c r="AG770" s="42"/>
      <c r="AH770" s="36"/>
      <c r="AI770" s="36"/>
    </row>
    <row r="771" spans="1:35" x14ac:dyDescent="0.3">
      <c r="A771" s="32" t="str">
        <f t="shared" si="72"/>
        <v/>
      </c>
      <c r="B771" s="33" t="str">
        <f t="shared" si="73"/>
        <v/>
      </c>
      <c r="C771" s="33" t="str">
        <f t="shared" si="74"/>
        <v/>
      </c>
      <c r="D771" s="34"/>
      <c r="E771" s="33" t="str">
        <f t="shared" si="75"/>
        <v/>
      </c>
      <c r="F771" s="33" t="str">
        <f t="shared" si="76"/>
        <v/>
      </c>
      <c r="G771" s="35"/>
      <c r="H771" s="35"/>
      <c r="I771" s="33"/>
      <c r="J771" s="33" t="str">
        <f t="shared" si="77"/>
        <v/>
      </c>
      <c r="K771" s="36"/>
      <c r="L771" s="37"/>
      <c r="M771" s="37"/>
      <c r="N771" s="37"/>
      <c r="O771" s="37"/>
      <c r="P771" s="37"/>
      <c r="Q771" s="37"/>
      <c r="R771" s="37"/>
      <c r="S771" s="37"/>
      <c r="T771" s="38"/>
      <c r="U771" s="40"/>
      <c r="V771" s="40"/>
      <c r="W771" s="40"/>
      <c r="X771" s="41"/>
      <c r="Y771" s="37"/>
      <c r="Z771" s="37"/>
      <c r="AA771" s="37"/>
      <c r="AB771" s="37"/>
      <c r="AC771" s="37"/>
      <c r="AD771" s="40"/>
      <c r="AE771" s="40"/>
      <c r="AF771" s="40"/>
      <c r="AG771" s="42"/>
      <c r="AH771" s="36"/>
      <c r="AI771" s="36"/>
    </row>
    <row r="772" spans="1:35" x14ac:dyDescent="0.3">
      <c r="A772" s="32" t="str">
        <f t="shared" si="72"/>
        <v/>
      </c>
      <c r="B772" s="33" t="str">
        <f t="shared" si="73"/>
        <v/>
      </c>
      <c r="C772" s="33" t="str">
        <f t="shared" si="74"/>
        <v/>
      </c>
      <c r="D772" s="34"/>
      <c r="E772" s="33" t="str">
        <f t="shared" si="75"/>
        <v/>
      </c>
      <c r="F772" s="33" t="str">
        <f t="shared" si="76"/>
        <v/>
      </c>
      <c r="G772" s="35"/>
      <c r="H772" s="35"/>
      <c r="I772" s="33"/>
      <c r="J772" s="33" t="str">
        <f t="shared" si="77"/>
        <v/>
      </c>
      <c r="K772" s="36"/>
      <c r="L772" s="37"/>
      <c r="M772" s="37"/>
      <c r="N772" s="37"/>
      <c r="O772" s="37"/>
      <c r="P772" s="37"/>
      <c r="Q772" s="37"/>
      <c r="R772" s="37"/>
      <c r="S772" s="37"/>
      <c r="T772" s="38"/>
      <c r="U772" s="40"/>
      <c r="V772" s="40"/>
      <c r="W772" s="40"/>
      <c r="X772" s="41"/>
      <c r="Y772" s="37"/>
      <c r="Z772" s="37"/>
      <c r="AA772" s="37"/>
      <c r="AB772" s="37"/>
      <c r="AC772" s="37"/>
      <c r="AD772" s="40"/>
      <c r="AE772" s="40"/>
      <c r="AF772" s="40"/>
      <c r="AG772" s="42"/>
      <c r="AH772" s="36"/>
      <c r="AI772" s="36"/>
    </row>
    <row r="773" spans="1:35" x14ac:dyDescent="0.3">
      <c r="A773" s="32" t="str">
        <f t="shared" si="72"/>
        <v/>
      </c>
      <c r="B773" s="33" t="str">
        <f t="shared" si="73"/>
        <v/>
      </c>
      <c r="C773" s="33" t="str">
        <f t="shared" si="74"/>
        <v/>
      </c>
      <c r="D773" s="34"/>
      <c r="E773" s="33" t="str">
        <f t="shared" si="75"/>
        <v/>
      </c>
      <c r="F773" s="33" t="str">
        <f t="shared" si="76"/>
        <v/>
      </c>
      <c r="G773" s="35"/>
      <c r="H773" s="35"/>
      <c r="I773" s="33"/>
      <c r="J773" s="33" t="str">
        <f t="shared" si="77"/>
        <v/>
      </c>
      <c r="K773" s="36"/>
      <c r="L773" s="37"/>
      <c r="M773" s="37"/>
      <c r="N773" s="37"/>
      <c r="O773" s="37"/>
      <c r="P773" s="37"/>
      <c r="Q773" s="37"/>
      <c r="R773" s="37"/>
      <c r="S773" s="37"/>
      <c r="T773" s="38"/>
      <c r="U773" s="40"/>
      <c r="V773" s="40"/>
      <c r="W773" s="40"/>
      <c r="X773" s="41"/>
      <c r="Y773" s="37"/>
      <c r="Z773" s="37"/>
      <c r="AA773" s="37"/>
      <c r="AB773" s="37"/>
      <c r="AC773" s="37"/>
      <c r="AD773" s="40"/>
      <c r="AE773" s="40"/>
      <c r="AF773" s="40"/>
      <c r="AG773" s="42"/>
      <c r="AH773" s="36"/>
      <c r="AI773" s="36"/>
    </row>
    <row r="774" spans="1:35" x14ac:dyDescent="0.3">
      <c r="A774" s="32" t="str">
        <f t="shared" si="72"/>
        <v/>
      </c>
      <c r="B774" s="33" t="str">
        <f t="shared" si="73"/>
        <v/>
      </c>
      <c r="C774" s="33" t="str">
        <f t="shared" si="74"/>
        <v/>
      </c>
      <c r="D774" s="34"/>
      <c r="E774" s="33" t="str">
        <f t="shared" si="75"/>
        <v/>
      </c>
      <c r="F774" s="33" t="str">
        <f t="shared" si="76"/>
        <v/>
      </c>
      <c r="G774" s="35"/>
      <c r="H774" s="35"/>
      <c r="I774" s="33"/>
      <c r="J774" s="33" t="str">
        <f t="shared" si="77"/>
        <v/>
      </c>
      <c r="K774" s="36"/>
      <c r="L774" s="37"/>
      <c r="M774" s="37"/>
      <c r="N774" s="37"/>
      <c r="O774" s="37"/>
      <c r="P774" s="37"/>
      <c r="Q774" s="37"/>
      <c r="R774" s="37"/>
      <c r="S774" s="37"/>
      <c r="T774" s="38"/>
      <c r="U774" s="40"/>
      <c r="V774" s="40"/>
      <c r="W774" s="40"/>
      <c r="X774" s="41"/>
      <c r="Y774" s="37"/>
      <c r="Z774" s="37"/>
      <c r="AA774" s="37"/>
      <c r="AB774" s="37"/>
      <c r="AC774" s="37"/>
      <c r="AD774" s="40"/>
      <c r="AE774" s="40"/>
      <c r="AF774" s="40"/>
      <c r="AG774" s="42"/>
      <c r="AH774" s="36"/>
      <c r="AI774" s="36"/>
    </row>
    <row r="775" spans="1:35" x14ac:dyDescent="0.3">
      <c r="A775" s="32" t="str">
        <f t="shared" si="72"/>
        <v/>
      </c>
      <c r="B775" s="33" t="str">
        <f t="shared" si="73"/>
        <v/>
      </c>
      <c r="C775" s="33" t="str">
        <f t="shared" si="74"/>
        <v/>
      </c>
      <c r="D775" s="34"/>
      <c r="E775" s="33" t="str">
        <f t="shared" si="75"/>
        <v/>
      </c>
      <c r="F775" s="33" t="str">
        <f t="shared" si="76"/>
        <v/>
      </c>
      <c r="G775" s="35"/>
      <c r="H775" s="35"/>
      <c r="I775" s="33"/>
      <c r="J775" s="33" t="str">
        <f t="shared" si="77"/>
        <v/>
      </c>
      <c r="K775" s="36"/>
      <c r="L775" s="37"/>
      <c r="M775" s="37"/>
      <c r="N775" s="37"/>
      <c r="O775" s="37"/>
      <c r="P775" s="37"/>
      <c r="Q775" s="37"/>
      <c r="R775" s="37"/>
      <c r="S775" s="37"/>
      <c r="T775" s="38"/>
      <c r="U775" s="40"/>
      <c r="V775" s="40"/>
      <c r="W775" s="40"/>
      <c r="X775" s="41"/>
      <c r="Y775" s="37"/>
      <c r="Z775" s="37"/>
      <c r="AA775" s="37"/>
      <c r="AB775" s="37"/>
      <c r="AC775" s="37"/>
      <c r="AD775" s="40"/>
      <c r="AE775" s="40"/>
      <c r="AF775" s="40"/>
      <c r="AG775" s="42"/>
      <c r="AH775" s="36"/>
      <c r="AI775" s="36"/>
    </row>
    <row r="776" spans="1:35" x14ac:dyDescent="0.3">
      <c r="A776" s="32" t="str">
        <f t="shared" si="72"/>
        <v/>
      </c>
      <c r="B776" s="33" t="str">
        <f t="shared" si="73"/>
        <v/>
      </c>
      <c r="C776" s="33" t="str">
        <f t="shared" si="74"/>
        <v/>
      </c>
      <c r="D776" s="34"/>
      <c r="E776" s="33" t="str">
        <f t="shared" si="75"/>
        <v/>
      </c>
      <c r="F776" s="33" t="str">
        <f t="shared" si="76"/>
        <v/>
      </c>
      <c r="G776" s="35"/>
      <c r="H776" s="35"/>
      <c r="I776" s="33"/>
      <c r="J776" s="33" t="str">
        <f t="shared" si="77"/>
        <v/>
      </c>
      <c r="K776" s="36"/>
      <c r="L776" s="37"/>
      <c r="M776" s="37"/>
      <c r="N776" s="37"/>
      <c r="O776" s="37"/>
      <c r="P776" s="37"/>
      <c r="Q776" s="37"/>
      <c r="R776" s="37"/>
      <c r="S776" s="37"/>
      <c r="T776" s="38"/>
      <c r="U776" s="40"/>
      <c r="V776" s="40"/>
      <c r="W776" s="40"/>
      <c r="X776" s="41"/>
      <c r="Y776" s="37"/>
      <c r="Z776" s="37"/>
      <c r="AA776" s="37"/>
      <c r="AB776" s="37"/>
      <c r="AC776" s="37"/>
      <c r="AD776" s="40"/>
      <c r="AE776" s="40"/>
      <c r="AF776" s="40"/>
      <c r="AG776" s="42"/>
      <c r="AH776" s="36"/>
      <c r="AI776" s="36"/>
    </row>
    <row r="777" spans="1:35" x14ac:dyDescent="0.3">
      <c r="A777" s="32" t="str">
        <f t="shared" si="72"/>
        <v/>
      </c>
      <c r="B777" s="33" t="str">
        <f t="shared" si="73"/>
        <v/>
      </c>
      <c r="C777" s="33" t="str">
        <f t="shared" si="74"/>
        <v/>
      </c>
      <c r="D777" s="34"/>
      <c r="E777" s="33" t="str">
        <f t="shared" si="75"/>
        <v/>
      </c>
      <c r="F777" s="33" t="str">
        <f t="shared" si="76"/>
        <v/>
      </c>
      <c r="G777" s="35"/>
      <c r="H777" s="35"/>
      <c r="I777" s="33"/>
      <c r="J777" s="33" t="str">
        <f t="shared" si="77"/>
        <v/>
      </c>
      <c r="K777" s="36"/>
      <c r="L777" s="37"/>
      <c r="M777" s="37"/>
      <c r="N777" s="37"/>
      <c r="O777" s="37"/>
      <c r="P777" s="37"/>
      <c r="Q777" s="37"/>
      <c r="R777" s="37"/>
      <c r="S777" s="37"/>
      <c r="T777" s="38"/>
      <c r="U777" s="40"/>
      <c r="V777" s="40"/>
      <c r="W777" s="40"/>
      <c r="X777" s="41"/>
      <c r="Y777" s="37"/>
      <c r="Z777" s="37"/>
      <c r="AA777" s="37"/>
      <c r="AB777" s="37"/>
      <c r="AC777" s="37"/>
      <c r="AD777" s="40"/>
      <c r="AE777" s="40"/>
      <c r="AF777" s="40"/>
      <c r="AG777" s="42"/>
      <c r="AH777" s="36"/>
      <c r="AI777" s="36"/>
    </row>
    <row r="778" spans="1:35" x14ac:dyDescent="0.3">
      <c r="A778" s="32" t="str">
        <f t="shared" si="72"/>
        <v/>
      </c>
      <c r="B778" s="33" t="str">
        <f t="shared" si="73"/>
        <v/>
      </c>
      <c r="C778" s="33" t="str">
        <f t="shared" si="74"/>
        <v/>
      </c>
      <c r="D778" s="34"/>
      <c r="E778" s="33" t="str">
        <f t="shared" si="75"/>
        <v/>
      </c>
      <c r="F778" s="33" t="str">
        <f t="shared" si="76"/>
        <v/>
      </c>
      <c r="G778" s="35"/>
      <c r="H778" s="35"/>
      <c r="I778" s="33"/>
      <c r="J778" s="33" t="str">
        <f t="shared" si="77"/>
        <v/>
      </c>
      <c r="K778" s="36"/>
      <c r="L778" s="37"/>
      <c r="M778" s="37"/>
      <c r="N778" s="37"/>
      <c r="O778" s="37"/>
      <c r="P778" s="37"/>
      <c r="Q778" s="37"/>
      <c r="R778" s="37"/>
      <c r="S778" s="37"/>
      <c r="T778" s="38"/>
      <c r="U778" s="40"/>
      <c r="V778" s="40"/>
      <c r="W778" s="40"/>
      <c r="X778" s="41"/>
      <c r="Y778" s="37"/>
      <c r="Z778" s="37"/>
      <c r="AA778" s="37"/>
      <c r="AB778" s="37"/>
      <c r="AC778" s="37"/>
      <c r="AD778" s="40"/>
      <c r="AE778" s="40"/>
      <c r="AF778" s="40"/>
      <c r="AG778" s="42"/>
      <c r="AH778" s="36"/>
      <c r="AI778" s="36"/>
    </row>
    <row r="779" spans="1:35" x14ac:dyDescent="0.3">
      <c r="A779" s="32" t="str">
        <f t="shared" si="72"/>
        <v/>
      </c>
      <c r="B779" s="33" t="str">
        <f t="shared" si="73"/>
        <v/>
      </c>
      <c r="C779" s="33" t="str">
        <f t="shared" si="74"/>
        <v/>
      </c>
      <c r="D779" s="34"/>
      <c r="E779" s="33" t="str">
        <f t="shared" si="75"/>
        <v/>
      </c>
      <c r="F779" s="33" t="str">
        <f t="shared" si="76"/>
        <v/>
      </c>
      <c r="G779" s="35"/>
      <c r="H779" s="35"/>
      <c r="I779" s="33"/>
      <c r="J779" s="33" t="str">
        <f t="shared" si="77"/>
        <v/>
      </c>
      <c r="K779" s="36"/>
      <c r="L779" s="37"/>
      <c r="M779" s="37"/>
      <c r="N779" s="37"/>
      <c r="O779" s="37"/>
      <c r="P779" s="37"/>
      <c r="Q779" s="37"/>
      <c r="R779" s="37"/>
      <c r="S779" s="37"/>
      <c r="T779" s="38"/>
      <c r="U779" s="40"/>
      <c r="V779" s="40"/>
      <c r="W779" s="40"/>
      <c r="X779" s="41"/>
      <c r="Y779" s="37"/>
      <c r="Z779" s="37"/>
      <c r="AA779" s="37"/>
      <c r="AB779" s="37"/>
      <c r="AC779" s="37"/>
      <c r="AD779" s="40"/>
      <c r="AE779" s="40"/>
      <c r="AF779" s="40"/>
      <c r="AG779" s="42"/>
      <c r="AH779" s="36"/>
      <c r="AI779" s="36"/>
    </row>
    <row r="780" spans="1:35" x14ac:dyDescent="0.3">
      <c r="A780" s="32" t="str">
        <f t="shared" si="72"/>
        <v/>
      </c>
      <c r="B780" s="33" t="str">
        <f t="shared" si="73"/>
        <v/>
      </c>
      <c r="C780" s="33" t="str">
        <f t="shared" si="74"/>
        <v/>
      </c>
      <c r="D780" s="34"/>
      <c r="E780" s="33" t="str">
        <f t="shared" si="75"/>
        <v/>
      </c>
      <c r="F780" s="33" t="str">
        <f t="shared" si="76"/>
        <v/>
      </c>
      <c r="G780" s="35"/>
      <c r="H780" s="35"/>
      <c r="I780" s="33"/>
      <c r="J780" s="33" t="str">
        <f t="shared" si="77"/>
        <v/>
      </c>
      <c r="K780" s="36"/>
      <c r="L780" s="37"/>
      <c r="M780" s="37"/>
      <c r="N780" s="37"/>
      <c r="O780" s="37"/>
      <c r="P780" s="37"/>
      <c r="Q780" s="37"/>
      <c r="R780" s="37"/>
      <c r="S780" s="37"/>
      <c r="T780" s="38"/>
      <c r="U780" s="40"/>
      <c r="V780" s="40"/>
      <c r="W780" s="40"/>
      <c r="X780" s="41"/>
      <c r="Y780" s="37"/>
      <c r="Z780" s="37"/>
      <c r="AA780" s="37"/>
      <c r="AB780" s="37"/>
      <c r="AC780" s="37"/>
      <c r="AD780" s="40"/>
      <c r="AE780" s="40"/>
      <c r="AF780" s="40"/>
      <c r="AG780" s="42"/>
      <c r="AH780" s="36"/>
      <c r="AI780" s="36"/>
    </row>
    <row r="781" spans="1:35" x14ac:dyDescent="0.3">
      <c r="A781" s="32" t="str">
        <f t="shared" si="72"/>
        <v/>
      </c>
      <c r="B781" s="33" t="str">
        <f t="shared" si="73"/>
        <v/>
      </c>
      <c r="C781" s="33" t="str">
        <f t="shared" si="74"/>
        <v/>
      </c>
      <c r="D781" s="34"/>
      <c r="E781" s="33" t="str">
        <f t="shared" si="75"/>
        <v/>
      </c>
      <c r="F781" s="33" t="str">
        <f t="shared" si="76"/>
        <v/>
      </c>
      <c r="G781" s="35"/>
      <c r="H781" s="35"/>
      <c r="I781" s="33"/>
      <c r="J781" s="33" t="str">
        <f t="shared" si="77"/>
        <v/>
      </c>
      <c r="K781" s="36"/>
      <c r="L781" s="37"/>
      <c r="M781" s="37"/>
      <c r="N781" s="37"/>
      <c r="O781" s="37"/>
      <c r="P781" s="37"/>
      <c r="Q781" s="37"/>
      <c r="R781" s="37"/>
      <c r="S781" s="37"/>
      <c r="T781" s="38"/>
      <c r="U781" s="40"/>
      <c r="V781" s="40"/>
      <c r="W781" s="40"/>
      <c r="X781" s="41"/>
      <c r="Y781" s="37"/>
      <c r="Z781" s="37"/>
      <c r="AA781" s="37"/>
      <c r="AB781" s="37"/>
      <c r="AC781" s="37"/>
      <c r="AD781" s="40"/>
      <c r="AE781" s="40"/>
      <c r="AF781" s="40"/>
      <c r="AG781" s="42"/>
      <c r="AH781" s="36"/>
      <c r="AI781" s="36"/>
    </row>
    <row r="782" spans="1:35" x14ac:dyDescent="0.3">
      <c r="A782" s="32" t="str">
        <f t="shared" si="72"/>
        <v/>
      </c>
      <c r="B782" s="33" t="str">
        <f t="shared" si="73"/>
        <v/>
      </c>
      <c r="C782" s="33" t="str">
        <f t="shared" si="74"/>
        <v/>
      </c>
      <c r="D782" s="34"/>
      <c r="E782" s="33" t="str">
        <f t="shared" si="75"/>
        <v/>
      </c>
      <c r="F782" s="33" t="str">
        <f t="shared" si="76"/>
        <v/>
      </c>
      <c r="G782" s="35"/>
      <c r="H782" s="35"/>
      <c r="I782" s="33"/>
      <c r="J782" s="33" t="str">
        <f t="shared" si="77"/>
        <v/>
      </c>
      <c r="K782" s="36"/>
      <c r="L782" s="37"/>
      <c r="M782" s="37"/>
      <c r="N782" s="37"/>
      <c r="O782" s="37"/>
      <c r="P782" s="37"/>
      <c r="Q782" s="37"/>
      <c r="R782" s="37"/>
      <c r="S782" s="37"/>
      <c r="T782" s="38"/>
      <c r="U782" s="40"/>
      <c r="V782" s="40"/>
      <c r="W782" s="40"/>
      <c r="X782" s="41"/>
      <c r="Y782" s="37"/>
      <c r="Z782" s="37"/>
      <c r="AA782" s="37"/>
      <c r="AB782" s="37"/>
      <c r="AC782" s="37"/>
      <c r="AD782" s="40"/>
      <c r="AE782" s="40"/>
      <c r="AF782" s="40"/>
      <c r="AG782" s="42"/>
      <c r="AH782" s="36"/>
      <c r="AI782" s="36"/>
    </row>
    <row r="783" spans="1:35" x14ac:dyDescent="0.3">
      <c r="A783" s="32" t="str">
        <f t="shared" si="72"/>
        <v/>
      </c>
      <c r="B783" s="33" t="str">
        <f t="shared" si="73"/>
        <v/>
      </c>
      <c r="C783" s="33" t="str">
        <f t="shared" si="74"/>
        <v/>
      </c>
      <c r="D783" s="34"/>
      <c r="E783" s="33" t="str">
        <f t="shared" si="75"/>
        <v/>
      </c>
      <c r="F783" s="33" t="str">
        <f t="shared" si="76"/>
        <v/>
      </c>
      <c r="G783" s="35"/>
      <c r="H783" s="35"/>
      <c r="I783" s="33"/>
      <c r="J783" s="33" t="str">
        <f t="shared" si="77"/>
        <v/>
      </c>
      <c r="K783" s="36"/>
      <c r="L783" s="37"/>
      <c r="M783" s="37"/>
      <c r="N783" s="37"/>
      <c r="O783" s="37"/>
      <c r="P783" s="37"/>
      <c r="Q783" s="37"/>
      <c r="R783" s="37"/>
      <c r="S783" s="37"/>
      <c r="T783" s="38"/>
      <c r="U783" s="40"/>
      <c r="V783" s="40"/>
      <c r="W783" s="40"/>
      <c r="X783" s="41"/>
      <c r="Y783" s="37"/>
      <c r="Z783" s="37"/>
      <c r="AA783" s="37"/>
      <c r="AB783" s="37"/>
      <c r="AC783" s="37"/>
      <c r="AD783" s="40"/>
      <c r="AE783" s="40"/>
      <c r="AF783" s="40"/>
      <c r="AG783" s="42"/>
      <c r="AH783" s="36"/>
      <c r="AI783" s="36"/>
    </row>
    <row r="784" spans="1:35" x14ac:dyDescent="0.3">
      <c r="A784" s="32" t="str">
        <f t="shared" si="72"/>
        <v/>
      </c>
      <c r="B784" s="33" t="str">
        <f t="shared" si="73"/>
        <v/>
      </c>
      <c r="C784" s="33" t="str">
        <f t="shared" si="74"/>
        <v/>
      </c>
      <c r="D784" s="34"/>
      <c r="E784" s="33" t="str">
        <f t="shared" si="75"/>
        <v/>
      </c>
      <c r="F784" s="33" t="str">
        <f t="shared" si="76"/>
        <v/>
      </c>
      <c r="G784" s="35"/>
      <c r="H784" s="35"/>
      <c r="I784" s="33"/>
      <c r="J784" s="33" t="str">
        <f t="shared" si="77"/>
        <v/>
      </c>
      <c r="K784" s="36"/>
      <c r="L784" s="37"/>
      <c r="M784" s="37"/>
      <c r="N784" s="37"/>
      <c r="O784" s="37"/>
      <c r="P784" s="37"/>
      <c r="Q784" s="37"/>
      <c r="R784" s="37"/>
      <c r="S784" s="37"/>
      <c r="T784" s="38"/>
      <c r="U784" s="40"/>
      <c r="V784" s="40"/>
      <c r="W784" s="40"/>
      <c r="X784" s="41"/>
      <c r="Y784" s="37"/>
      <c r="Z784" s="37"/>
      <c r="AA784" s="37"/>
      <c r="AB784" s="37"/>
      <c r="AC784" s="37"/>
      <c r="AD784" s="40"/>
      <c r="AE784" s="40"/>
      <c r="AF784" s="40"/>
      <c r="AG784" s="42"/>
      <c r="AH784" s="36"/>
      <c r="AI784" s="36"/>
    </row>
    <row r="785" spans="1:35" x14ac:dyDescent="0.3">
      <c r="A785" s="32" t="str">
        <f t="shared" ref="A785:A848" si="78">IF($K785="", "", ROW()-15)</f>
        <v/>
      </c>
      <c r="B785" s="33" t="str">
        <f t="shared" ref="B785:B848" si="79">IFERROR(IF(ISNUMBER(SEARCH("Q", $K785)), "Q", MID(RIGHT($J785, 4), 1, 1)), "")</f>
        <v/>
      </c>
      <c r="C785" s="33" t="str">
        <f t="shared" ref="C785:C848" si="80">IFERROR(IF(ISNUMBER(SEARCH("Q", $K785)), LEFT($K785, LEN($K785)-15), LEFT($K785, LEN($K785)-8)), "")</f>
        <v/>
      </c>
      <c r="D785" s="34"/>
      <c r="E785" s="33" t="str">
        <f t="shared" ref="E785:E848" si="81">IFERROR(IF($F785="", "", IF($F785="01", "최초", "추가")), " ")</f>
        <v/>
      </c>
      <c r="F785" s="33" t="str">
        <f t="shared" ref="F785:F848" si="82">IFERROR(IF(ISNUMBER(SEARCH("Q", $K785)), MID(RIGHT($K785, 9), 1, 2), RIGHT($K785, 2)), "")</f>
        <v/>
      </c>
      <c r="G785" s="35"/>
      <c r="H785" s="35"/>
      <c r="I785" s="33"/>
      <c r="J785" s="33" t="str">
        <f t="shared" ref="J785:J848" si="83">IFERROR(IF(ISNUMBER(SEARCH("Q", $K785)), LEFT($K785, LEN($K785)-10), LEFT($K785, LEN($K785)-3)), "")</f>
        <v/>
      </c>
      <c r="K785" s="36"/>
      <c r="L785" s="37"/>
      <c r="M785" s="37"/>
      <c r="N785" s="37"/>
      <c r="O785" s="37"/>
      <c r="P785" s="37"/>
      <c r="Q785" s="37"/>
      <c r="R785" s="37"/>
      <c r="S785" s="37"/>
      <c r="T785" s="38"/>
      <c r="U785" s="40"/>
      <c r="V785" s="40"/>
      <c r="W785" s="40"/>
      <c r="X785" s="41"/>
      <c r="Y785" s="37"/>
      <c r="Z785" s="37"/>
      <c r="AA785" s="37"/>
      <c r="AB785" s="37"/>
      <c r="AC785" s="37"/>
      <c r="AD785" s="40"/>
      <c r="AE785" s="40"/>
      <c r="AF785" s="40"/>
      <c r="AG785" s="42"/>
      <c r="AH785" s="36"/>
      <c r="AI785" s="36"/>
    </row>
    <row r="786" spans="1:35" x14ac:dyDescent="0.3">
      <c r="A786" s="32" t="str">
        <f t="shared" si="78"/>
        <v/>
      </c>
      <c r="B786" s="33" t="str">
        <f t="shared" si="79"/>
        <v/>
      </c>
      <c r="C786" s="33" t="str">
        <f t="shared" si="80"/>
        <v/>
      </c>
      <c r="D786" s="34"/>
      <c r="E786" s="33" t="str">
        <f t="shared" si="81"/>
        <v/>
      </c>
      <c r="F786" s="33" t="str">
        <f t="shared" si="82"/>
        <v/>
      </c>
      <c r="G786" s="35"/>
      <c r="H786" s="35"/>
      <c r="I786" s="33"/>
      <c r="J786" s="33" t="str">
        <f t="shared" si="83"/>
        <v/>
      </c>
      <c r="K786" s="36"/>
      <c r="L786" s="37"/>
      <c r="M786" s="37"/>
      <c r="N786" s="37"/>
      <c r="O786" s="37"/>
      <c r="P786" s="37"/>
      <c r="Q786" s="37"/>
      <c r="R786" s="37"/>
      <c r="S786" s="37"/>
      <c r="T786" s="38"/>
      <c r="U786" s="40"/>
      <c r="V786" s="40"/>
      <c r="W786" s="40"/>
      <c r="X786" s="41"/>
      <c r="Y786" s="37"/>
      <c r="Z786" s="37"/>
      <c r="AA786" s="37"/>
      <c r="AB786" s="37"/>
      <c r="AC786" s="37"/>
      <c r="AD786" s="40"/>
      <c r="AE786" s="40"/>
      <c r="AF786" s="40"/>
      <c r="AG786" s="42"/>
      <c r="AH786" s="36"/>
      <c r="AI786" s="36"/>
    </row>
    <row r="787" spans="1:35" x14ac:dyDescent="0.3">
      <c r="A787" s="32" t="str">
        <f t="shared" si="78"/>
        <v/>
      </c>
      <c r="B787" s="33" t="str">
        <f t="shared" si="79"/>
        <v/>
      </c>
      <c r="C787" s="33" t="str">
        <f t="shared" si="80"/>
        <v/>
      </c>
      <c r="D787" s="34"/>
      <c r="E787" s="33" t="str">
        <f t="shared" si="81"/>
        <v/>
      </c>
      <c r="F787" s="33" t="str">
        <f t="shared" si="82"/>
        <v/>
      </c>
      <c r="G787" s="35"/>
      <c r="H787" s="35"/>
      <c r="I787" s="33"/>
      <c r="J787" s="33" t="str">
        <f t="shared" si="83"/>
        <v/>
      </c>
      <c r="K787" s="36"/>
      <c r="L787" s="37"/>
      <c r="M787" s="37"/>
      <c r="N787" s="37"/>
      <c r="O787" s="37"/>
      <c r="P787" s="37"/>
      <c r="Q787" s="37"/>
      <c r="R787" s="37"/>
      <c r="S787" s="37"/>
      <c r="T787" s="38"/>
      <c r="U787" s="40"/>
      <c r="V787" s="40"/>
      <c r="W787" s="40"/>
      <c r="X787" s="41"/>
      <c r="Y787" s="37"/>
      <c r="Z787" s="37"/>
      <c r="AA787" s="37"/>
      <c r="AB787" s="37"/>
      <c r="AC787" s="37"/>
      <c r="AD787" s="40"/>
      <c r="AE787" s="40"/>
      <c r="AF787" s="40"/>
      <c r="AG787" s="42"/>
      <c r="AH787" s="36"/>
      <c r="AI787" s="36"/>
    </row>
    <row r="788" spans="1:35" x14ac:dyDescent="0.3">
      <c r="A788" s="32" t="str">
        <f t="shared" si="78"/>
        <v/>
      </c>
      <c r="B788" s="33" t="str">
        <f t="shared" si="79"/>
        <v/>
      </c>
      <c r="C788" s="33" t="str">
        <f t="shared" si="80"/>
        <v/>
      </c>
      <c r="D788" s="34"/>
      <c r="E788" s="33" t="str">
        <f t="shared" si="81"/>
        <v/>
      </c>
      <c r="F788" s="33" t="str">
        <f t="shared" si="82"/>
        <v/>
      </c>
      <c r="G788" s="35"/>
      <c r="H788" s="35"/>
      <c r="I788" s="33"/>
      <c r="J788" s="33" t="str">
        <f t="shared" si="83"/>
        <v/>
      </c>
      <c r="K788" s="36"/>
      <c r="L788" s="37"/>
      <c r="M788" s="37"/>
      <c r="N788" s="37"/>
      <c r="O788" s="37"/>
      <c r="P788" s="37"/>
      <c r="Q788" s="37"/>
      <c r="R788" s="37"/>
      <c r="S788" s="37"/>
      <c r="T788" s="38"/>
      <c r="U788" s="40"/>
      <c r="V788" s="40"/>
      <c r="W788" s="40"/>
      <c r="X788" s="41"/>
      <c r="Y788" s="37"/>
      <c r="Z788" s="37"/>
      <c r="AA788" s="37"/>
      <c r="AB788" s="37"/>
      <c r="AC788" s="37"/>
      <c r="AD788" s="40"/>
      <c r="AE788" s="40"/>
      <c r="AF788" s="40"/>
      <c r="AG788" s="42"/>
      <c r="AH788" s="36"/>
      <c r="AI788" s="36"/>
    </row>
    <row r="789" spans="1:35" x14ac:dyDescent="0.3">
      <c r="A789" s="32" t="str">
        <f t="shared" si="78"/>
        <v/>
      </c>
      <c r="B789" s="33" t="str">
        <f t="shared" si="79"/>
        <v/>
      </c>
      <c r="C789" s="33" t="str">
        <f t="shared" si="80"/>
        <v/>
      </c>
      <c r="D789" s="34"/>
      <c r="E789" s="33" t="str">
        <f t="shared" si="81"/>
        <v/>
      </c>
      <c r="F789" s="33" t="str">
        <f t="shared" si="82"/>
        <v/>
      </c>
      <c r="G789" s="35"/>
      <c r="H789" s="35"/>
      <c r="I789" s="33"/>
      <c r="J789" s="33" t="str">
        <f t="shared" si="83"/>
        <v/>
      </c>
      <c r="K789" s="36"/>
      <c r="L789" s="37"/>
      <c r="M789" s="37"/>
      <c r="N789" s="37"/>
      <c r="O789" s="37"/>
      <c r="P789" s="37"/>
      <c r="Q789" s="37"/>
      <c r="R789" s="37"/>
      <c r="S789" s="37"/>
      <c r="T789" s="38"/>
      <c r="U789" s="40"/>
      <c r="V789" s="40"/>
      <c r="W789" s="40"/>
      <c r="X789" s="41"/>
      <c r="Y789" s="37"/>
      <c r="Z789" s="37"/>
      <c r="AA789" s="37"/>
      <c r="AB789" s="37"/>
      <c r="AC789" s="37"/>
      <c r="AD789" s="40"/>
      <c r="AE789" s="40"/>
      <c r="AF789" s="40"/>
      <c r="AG789" s="42"/>
      <c r="AH789" s="36"/>
      <c r="AI789" s="36"/>
    </row>
    <row r="790" spans="1:35" x14ac:dyDescent="0.3">
      <c r="A790" s="32" t="str">
        <f t="shared" si="78"/>
        <v/>
      </c>
      <c r="B790" s="33" t="str">
        <f t="shared" si="79"/>
        <v/>
      </c>
      <c r="C790" s="33" t="str">
        <f t="shared" si="80"/>
        <v/>
      </c>
      <c r="D790" s="34"/>
      <c r="E790" s="33" t="str">
        <f t="shared" si="81"/>
        <v/>
      </c>
      <c r="F790" s="33" t="str">
        <f t="shared" si="82"/>
        <v/>
      </c>
      <c r="G790" s="35"/>
      <c r="H790" s="35"/>
      <c r="I790" s="33"/>
      <c r="J790" s="33" t="str">
        <f t="shared" si="83"/>
        <v/>
      </c>
      <c r="K790" s="36"/>
      <c r="L790" s="37"/>
      <c r="M790" s="37"/>
      <c r="N790" s="37"/>
      <c r="O790" s="37"/>
      <c r="P790" s="37"/>
      <c r="Q790" s="37"/>
      <c r="R790" s="37"/>
      <c r="S790" s="37"/>
      <c r="T790" s="38"/>
      <c r="U790" s="40"/>
      <c r="V790" s="40"/>
      <c r="W790" s="40"/>
      <c r="X790" s="41"/>
      <c r="Y790" s="37"/>
      <c r="Z790" s="37"/>
      <c r="AA790" s="37"/>
      <c r="AB790" s="37"/>
      <c r="AC790" s="37"/>
      <c r="AD790" s="40"/>
      <c r="AE790" s="40"/>
      <c r="AF790" s="40"/>
      <c r="AG790" s="42"/>
      <c r="AH790" s="36"/>
      <c r="AI790" s="36"/>
    </row>
    <row r="791" spans="1:35" x14ac:dyDescent="0.3">
      <c r="A791" s="32" t="str">
        <f t="shared" si="78"/>
        <v/>
      </c>
      <c r="B791" s="33" t="str">
        <f t="shared" si="79"/>
        <v/>
      </c>
      <c r="C791" s="33" t="str">
        <f t="shared" si="80"/>
        <v/>
      </c>
      <c r="D791" s="34"/>
      <c r="E791" s="33" t="str">
        <f t="shared" si="81"/>
        <v/>
      </c>
      <c r="F791" s="33" t="str">
        <f t="shared" si="82"/>
        <v/>
      </c>
      <c r="G791" s="35"/>
      <c r="H791" s="35"/>
      <c r="I791" s="33"/>
      <c r="J791" s="33" t="str">
        <f t="shared" si="83"/>
        <v/>
      </c>
      <c r="K791" s="36"/>
      <c r="L791" s="37"/>
      <c r="M791" s="37"/>
      <c r="N791" s="37"/>
      <c r="O791" s="37"/>
      <c r="P791" s="37"/>
      <c r="Q791" s="37"/>
      <c r="R791" s="37"/>
      <c r="S791" s="37"/>
      <c r="T791" s="38"/>
      <c r="U791" s="40"/>
      <c r="V791" s="40"/>
      <c r="W791" s="40"/>
      <c r="X791" s="41"/>
      <c r="Y791" s="37"/>
      <c r="Z791" s="37"/>
      <c r="AA791" s="37"/>
      <c r="AB791" s="37"/>
      <c r="AC791" s="37"/>
      <c r="AD791" s="40"/>
      <c r="AE791" s="40"/>
      <c r="AF791" s="40"/>
      <c r="AG791" s="42"/>
      <c r="AH791" s="36"/>
      <c r="AI791" s="36"/>
    </row>
    <row r="792" spans="1:35" x14ac:dyDescent="0.3">
      <c r="A792" s="32" t="str">
        <f t="shared" si="78"/>
        <v/>
      </c>
      <c r="B792" s="33" t="str">
        <f t="shared" si="79"/>
        <v/>
      </c>
      <c r="C792" s="33" t="str">
        <f t="shared" si="80"/>
        <v/>
      </c>
      <c r="D792" s="34"/>
      <c r="E792" s="33" t="str">
        <f t="shared" si="81"/>
        <v/>
      </c>
      <c r="F792" s="33" t="str">
        <f t="shared" si="82"/>
        <v/>
      </c>
      <c r="G792" s="35"/>
      <c r="H792" s="35"/>
      <c r="I792" s="33"/>
      <c r="J792" s="33" t="str">
        <f t="shared" si="83"/>
        <v/>
      </c>
      <c r="K792" s="36"/>
      <c r="L792" s="37"/>
      <c r="M792" s="37"/>
      <c r="N792" s="37"/>
      <c r="O792" s="37"/>
      <c r="P792" s="37"/>
      <c r="Q792" s="37"/>
      <c r="R792" s="37"/>
      <c r="S792" s="37"/>
      <c r="T792" s="38"/>
      <c r="U792" s="40"/>
      <c r="V792" s="40"/>
      <c r="W792" s="40"/>
      <c r="X792" s="41"/>
      <c r="Y792" s="37"/>
      <c r="Z792" s="37"/>
      <c r="AA792" s="37"/>
      <c r="AB792" s="37"/>
      <c r="AC792" s="37"/>
      <c r="AD792" s="40"/>
      <c r="AE792" s="40"/>
      <c r="AF792" s="40"/>
      <c r="AG792" s="42"/>
      <c r="AH792" s="36"/>
      <c r="AI792" s="36"/>
    </row>
    <row r="793" spans="1:35" x14ac:dyDescent="0.3">
      <c r="A793" s="32" t="str">
        <f t="shared" si="78"/>
        <v/>
      </c>
      <c r="B793" s="33" t="str">
        <f t="shared" si="79"/>
        <v/>
      </c>
      <c r="C793" s="33" t="str">
        <f t="shared" si="80"/>
        <v/>
      </c>
      <c r="D793" s="34"/>
      <c r="E793" s="33" t="str">
        <f t="shared" si="81"/>
        <v/>
      </c>
      <c r="F793" s="33" t="str">
        <f t="shared" si="82"/>
        <v/>
      </c>
      <c r="G793" s="35"/>
      <c r="H793" s="35"/>
      <c r="I793" s="33"/>
      <c r="J793" s="33" t="str">
        <f t="shared" si="83"/>
        <v/>
      </c>
      <c r="K793" s="36"/>
      <c r="L793" s="37"/>
      <c r="M793" s="37"/>
      <c r="N793" s="37"/>
      <c r="O793" s="37"/>
      <c r="P793" s="37"/>
      <c r="Q793" s="37"/>
      <c r="R793" s="37"/>
      <c r="S793" s="37"/>
      <c r="T793" s="38"/>
      <c r="U793" s="40"/>
      <c r="V793" s="40"/>
      <c r="W793" s="40"/>
      <c r="X793" s="41"/>
      <c r="Y793" s="37"/>
      <c r="Z793" s="37"/>
      <c r="AA793" s="37"/>
      <c r="AB793" s="37"/>
      <c r="AC793" s="37"/>
      <c r="AD793" s="40"/>
      <c r="AE793" s="40"/>
      <c r="AF793" s="40"/>
      <c r="AG793" s="42"/>
      <c r="AH793" s="36"/>
      <c r="AI793" s="36"/>
    </row>
    <row r="794" spans="1:35" x14ac:dyDescent="0.3">
      <c r="A794" s="32" t="str">
        <f t="shared" si="78"/>
        <v/>
      </c>
      <c r="B794" s="33" t="str">
        <f t="shared" si="79"/>
        <v/>
      </c>
      <c r="C794" s="33" t="str">
        <f t="shared" si="80"/>
        <v/>
      </c>
      <c r="D794" s="34"/>
      <c r="E794" s="33" t="str">
        <f t="shared" si="81"/>
        <v/>
      </c>
      <c r="F794" s="33" t="str">
        <f t="shared" si="82"/>
        <v/>
      </c>
      <c r="G794" s="35"/>
      <c r="H794" s="35"/>
      <c r="I794" s="33"/>
      <c r="J794" s="33" t="str">
        <f t="shared" si="83"/>
        <v/>
      </c>
      <c r="K794" s="36"/>
      <c r="L794" s="37"/>
      <c r="M794" s="37"/>
      <c r="N794" s="37"/>
      <c r="O794" s="37"/>
      <c r="P794" s="37"/>
      <c r="Q794" s="37"/>
      <c r="R794" s="37"/>
      <c r="S794" s="37"/>
      <c r="T794" s="38"/>
      <c r="U794" s="40"/>
      <c r="V794" s="40"/>
      <c r="W794" s="40"/>
      <c r="X794" s="41"/>
      <c r="Y794" s="37"/>
      <c r="Z794" s="37"/>
      <c r="AA794" s="37"/>
      <c r="AB794" s="37"/>
      <c r="AC794" s="37"/>
      <c r="AD794" s="40"/>
      <c r="AE794" s="40"/>
      <c r="AF794" s="40"/>
      <c r="AG794" s="42"/>
      <c r="AH794" s="36"/>
      <c r="AI794" s="36"/>
    </row>
    <row r="795" spans="1:35" x14ac:dyDescent="0.3">
      <c r="A795" s="32" t="str">
        <f t="shared" si="78"/>
        <v/>
      </c>
      <c r="B795" s="33" t="str">
        <f t="shared" si="79"/>
        <v/>
      </c>
      <c r="C795" s="33" t="str">
        <f t="shared" si="80"/>
        <v/>
      </c>
      <c r="D795" s="34"/>
      <c r="E795" s="33" t="str">
        <f t="shared" si="81"/>
        <v/>
      </c>
      <c r="F795" s="33" t="str">
        <f t="shared" si="82"/>
        <v/>
      </c>
      <c r="G795" s="35"/>
      <c r="H795" s="35"/>
      <c r="I795" s="33"/>
      <c r="J795" s="33" t="str">
        <f t="shared" si="83"/>
        <v/>
      </c>
      <c r="K795" s="36"/>
      <c r="L795" s="37"/>
      <c r="M795" s="37"/>
      <c r="N795" s="37"/>
      <c r="O795" s="37"/>
      <c r="P795" s="37"/>
      <c r="Q795" s="37"/>
      <c r="R795" s="37"/>
      <c r="S795" s="37"/>
      <c r="T795" s="38"/>
      <c r="U795" s="40"/>
      <c r="V795" s="40"/>
      <c r="W795" s="40"/>
      <c r="X795" s="41"/>
      <c r="Y795" s="37"/>
      <c r="Z795" s="37"/>
      <c r="AA795" s="37"/>
      <c r="AB795" s="37"/>
      <c r="AC795" s="37"/>
      <c r="AD795" s="40"/>
      <c r="AE795" s="40"/>
      <c r="AF795" s="40"/>
      <c r="AG795" s="42"/>
      <c r="AH795" s="36"/>
      <c r="AI795" s="36"/>
    </row>
    <row r="796" spans="1:35" x14ac:dyDescent="0.3">
      <c r="A796" s="32" t="str">
        <f t="shared" si="78"/>
        <v/>
      </c>
      <c r="B796" s="33" t="str">
        <f t="shared" si="79"/>
        <v/>
      </c>
      <c r="C796" s="33" t="str">
        <f t="shared" si="80"/>
        <v/>
      </c>
      <c r="D796" s="34"/>
      <c r="E796" s="33" t="str">
        <f t="shared" si="81"/>
        <v/>
      </c>
      <c r="F796" s="33" t="str">
        <f t="shared" si="82"/>
        <v/>
      </c>
      <c r="G796" s="35"/>
      <c r="H796" s="35"/>
      <c r="I796" s="33"/>
      <c r="J796" s="33" t="str">
        <f t="shared" si="83"/>
        <v/>
      </c>
      <c r="K796" s="36"/>
      <c r="L796" s="37"/>
      <c r="M796" s="37"/>
      <c r="N796" s="37"/>
      <c r="O796" s="37"/>
      <c r="P796" s="37"/>
      <c r="Q796" s="37"/>
      <c r="R796" s="37"/>
      <c r="S796" s="37"/>
      <c r="T796" s="38"/>
      <c r="U796" s="40"/>
      <c r="V796" s="40"/>
      <c r="W796" s="40"/>
      <c r="X796" s="41"/>
      <c r="Y796" s="37"/>
      <c r="Z796" s="37"/>
      <c r="AA796" s="37"/>
      <c r="AB796" s="37"/>
      <c r="AC796" s="37"/>
      <c r="AD796" s="40"/>
      <c r="AE796" s="40"/>
      <c r="AF796" s="40"/>
      <c r="AG796" s="42"/>
      <c r="AH796" s="36"/>
      <c r="AI796" s="36"/>
    </row>
    <row r="797" spans="1:35" x14ac:dyDescent="0.3">
      <c r="A797" s="32" t="str">
        <f t="shared" si="78"/>
        <v/>
      </c>
      <c r="B797" s="33" t="str">
        <f t="shared" si="79"/>
        <v/>
      </c>
      <c r="C797" s="33" t="str">
        <f t="shared" si="80"/>
        <v/>
      </c>
      <c r="D797" s="34"/>
      <c r="E797" s="33" t="str">
        <f t="shared" si="81"/>
        <v/>
      </c>
      <c r="F797" s="33" t="str">
        <f t="shared" si="82"/>
        <v/>
      </c>
      <c r="G797" s="35"/>
      <c r="H797" s="35"/>
      <c r="I797" s="33"/>
      <c r="J797" s="33" t="str">
        <f t="shared" si="83"/>
        <v/>
      </c>
      <c r="K797" s="36"/>
      <c r="L797" s="37"/>
      <c r="M797" s="37"/>
      <c r="N797" s="37"/>
      <c r="O797" s="37"/>
      <c r="P797" s="37"/>
      <c r="Q797" s="37"/>
      <c r="R797" s="37"/>
      <c r="S797" s="37"/>
      <c r="T797" s="38"/>
      <c r="U797" s="40"/>
      <c r="V797" s="40"/>
      <c r="W797" s="40"/>
      <c r="X797" s="41"/>
      <c r="Y797" s="37"/>
      <c r="Z797" s="37"/>
      <c r="AA797" s="37"/>
      <c r="AB797" s="37"/>
      <c r="AC797" s="37"/>
      <c r="AD797" s="40"/>
      <c r="AE797" s="40"/>
      <c r="AF797" s="40"/>
      <c r="AG797" s="42"/>
      <c r="AH797" s="36"/>
      <c r="AI797" s="36"/>
    </row>
    <row r="798" spans="1:35" x14ac:dyDescent="0.3">
      <c r="A798" s="32" t="str">
        <f t="shared" si="78"/>
        <v/>
      </c>
      <c r="B798" s="33" t="str">
        <f t="shared" si="79"/>
        <v/>
      </c>
      <c r="C798" s="33" t="str">
        <f t="shared" si="80"/>
        <v/>
      </c>
      <c r="D798" s="34"/>
      <c r="E798" s="33" t="str">
        <f t="shared" si="81"/>
        <v/>
      </c>
      <c r="F798" s="33" t="str">
        <f t="shared" si="82"/>
        <v/>
      </c>
      <c r="G798" s="35"/>
      <c r="H798" s="35"/>
      <c r="I798" s="33"/>
      <c r="J798" s="33" t="str">
        <f t="shared" si="83"/>
        <v/>
      </c>
      <c r="K798" s="36"/>
      <c r="L798" s="37"/>
      <c r="M798" s="37"/>
      <c r="N798" s="37"/>
      <c r="O798" s="37"/>
      <c r="P798" s="37"/>
      <c r="Q798" s="37"/>
      <c r="R798" s="37"/>
      <c r="S798" s="37"/>
      <c r="T798" s="38"/>
      <c r="U798" s="40"/>
      <c r="V798" s="40"/>
      <c r="W798" s="40"/>
      <c r="X798" s="41"/>
      <c r="Y798" s="37"/>
      <c r="Z798" s="37"/>
      <c r="AA798" s="37"/>
      <c r="AB798" s="37"/>
      <c r="AC798" s="37"/>
      <c r="AD798" s="40"/>
      <c r="AE798" s="40"/>
      <c r="AF798" s="40"/>
      <c r="AG798" s="42"/>
      <c r="AH798" s="36"/>
      <c r="AI798" s="36"/>
    </row>
    <row r="799" spans="1:35" x14ac:dyDescent="0.3">
      <c r="A799" s="32" t="str">
        <f t="shared" si="78"/>
        <v/>
      </c>
      <c r="B799" s="33" t="str">
        <f t="shared" si="79"/>
        <v/>
      </c>
      <c r="C799" s="33" t="str">
        <f t="shared" si="80"/>
        <v/>
      </c>
      <c r="D799" s="34"/>
      <c r="E799" s="33" t="str">
        <f t="shared" si="81"/>
        <v/>
      </c>
      <c r="F799" s="33" t="str">
        <f t="shared" si="82"/>
        <v/>
      </c>
      <c r="G799" s="35"/>
      <c r="H799" s="35"/>
      <c r="I799" s="33"/>
      <c r="J799" s="33" t="str">
        <f t="shared" si="83"/>
        <v/>
      </c>
      <c r="K799" s="36"/>
      <c r="L799" s="37"/>
      <c r="M799" s="37"/>
      <c r="N799" s="37"/>
      <c r="O799" s="37"/>
      <c r="P799" s="37"/>
      <c r="Q799" s="37"/>
      <c r="R799" s="37"/>
      <c r="S799" s="37"/>
      <c r="T799" s="38"/>
      <c r="U799" s="40"/>
      <c r="V799" s="40"/>
      <c r="W799" s="40"/>
      <c r="X799" s="41"/>
      <c r="Y799" s="37"/>
      <c r="Z799" s="37"/>
      <c r="AA799" s="37"/>
      <c r="AB799" s="37"/>
      <c r="AC799" s="37"/>
      <c r="AD799" s="40"/>
      <c r="AE799" s="40"/>
      <c r="AF799" s="40"/>
      <c r="AG799" s="42"/>
      <c r="AH799" s="36"/>
      <c r="AI799" s="36"/>
    </row>
    <row r="800" spans="1:35" x14ac:dyDescent="0.3">
      <c r="A800" s="32" t="str">
        <f t="shared" si="78"/>
        <v/>
      </c>
      <c r="B800" s="33" t="str">
        <f t="shared" si="79"/>
        <v/>
      </c>
      <c r="C800" s="33" t="str">
        <f t="shared" si="80"/>
        <v/>
      </c>
      <c r="D800" s="34"/>
      <c r="E800" s="33" t="str">
        <f t="shared" si="81"/>
        <v/>
      </c>
      <c r="F800" s="33" t="str">
        <f t="shared" si="82"/>
        <v/>
      </c>
      <c r="G800" s="35"/>
      <c r="H800" s="35"/>
      <c r="I800" s="33"/>
      <c r="J800" s="33" t="str">
        <f t="shared" si="83"/>
        <v/>
      </c>
      <c r="K800" s="36"/>
      <c r="L800" s="37"/>
      <c r="M800" s="37"/>
      <c r="N800" s="37"/>
      <c r="O800" s="37"/>
      <c r="P800" s="37"/>
      <c r="Q800" s="37"/>
      <c r="R800" s="37"/>
      <c r="S800" s="37"/>
      <c r="T800" s="38"/>
      <c r="U800" s="40"/>
      <c r="V800" s="40"/>
      <c r="W800" s="40"/>
      <c r="X800" s="41"/>
      <c r="Y800" s="37"/>
      <c r="Z800" s="37"/>
      <c r="AA800" s="37"/>
      <c r="AB800" s="37"/>
      <c r="AC800" s="37"/>
      <c r="AD800" s="40"/>
      <c r="AE800" s="40"/>
      <c r="AF800" s="40"/>
      <c r="AG800" s="42"/>
      <c r="AH800" s="36"/>
      <c r="AI800" s="36"/>
    </row>
    <row r="801" spans="1:35" x14ac:dyDescent="0.3">
      <c r="A801" s="32" t="str">
        <f t="shared" si="78"/>
        <v/>
      </c>
      <c r="B801" s="33" t="str">
        <f t="shared" si="79"/>
        <v/>
      </c>
      <c r="C801" s="33" t="str">
        <f t="shared" si="80"/>
        <v/>
      </c>
      <c r="D801" s="34"/>
      <c r="E801" s="33" t="str">
        <f t="shared" si="81"/>
        <v/>
      </c>
      <c r="F801" s="33" t="str">
        <f t="shared" si="82"/>
        <v/>
      </c>
      <c r="G801" s="35"/>
      <c r="H801" s="35"/>
      <c r="I801" s="33"/>
      <c r="J801" s="33" t="str">
        <f t="shared" si="83"/>
        <v/>
      </c>
      <c r="K801" s="36"/>
      <c r="L801" s="37"/>
      <c r="M801" s="37"/>
      <c r="N801" s="37"/>
      <c r="O801" s="37"/>
      <c r="P801" s="37"/>
      <c r="Q801" s="37"/>
      <c r="R801" s="37"/>
      <c r="S801" s="37"/>
      <c r="T801" s="38"/>
      <c r="U801" s="40"/>
      <c r="V801" s="40"/>
      <c r="W801" s="40"/>
      <c r="X801" s="41"/>
      <c r="Y801" s="37"/>
      <c r="Z801" s="37"/>
      <c r="AA801" s="37"/>
      <c r="AB801" s="37"/>
      <c r="AC801" s="37"/>
      <c r="AD801" s="40"/>
      <c r="AE801" s="40"/>
      <c r="AF801" s="40"/>
      <c r="AG801" s="42"/>
      <c r="AH801" s="36"/>
      <c r="AI801" s="36"/>
    </row>
    <row r="802" spans="1:35" x14ac:dyDescent="0.3">
      <c r="A802" s="32" t="str">
        <f t="shared" si="78"/>
        <v/>
      </c>
      <c r="B802" s="33" t="str">
        <f t="shared" si="79"/>
        <v/>
      </c>
      <c r="C802" s="33" t="str">
        <f t="shared" si="80"/>
        <v/>
      </c>
      <c r="D802" s="34"/>
      <c r="E802" s="33" t="str">
        <f t="shared" si="81"/>
        <v/>
      </c>
      <c r="F802" s="33" t="str">
        <f t="shared" si="82"/>
        <v/>
      </c>
      <c r="G802" s="35"/>
      <c r="H802" s="35"/>
      <c r="I802" s="33"/>
      <c r="J802" s="33" t="str">
        <f t="shared" si="83"/>
        <v/>
      </c>
      <c r="K802" s="36"/>
      <c r="L802" s="37"/>
      <c r="M802" s="37"/>
      <c r="N802" s="37"/>
      <c r="O802" s="37"/>
      <c r="P802" s="37"/>
      <c r="Q802" s="37"/>
      <c r="R802" s="37"/>
      <c r="S802" s="37"/>
      <c r="T802" s="38"/>
      <c r="U802" s="40"/>
      <c r="V802" s="40"/>
      <c r="W802" s="40"/>
      <c r="X802" s="41"/>
      <c r="Y802" s="37"/>
      <c r="Z802" s="37"/>
      <c r="AA802" s="37"/>
      <c r="AB802" s="37"/>
      <c r="AC802" s="37"/>
      <c r="AD802" s="40"/>
      <c r="AE802" s="40"/>
      <c r="AF802" s="40"/>
      <c r="AG802" s="42"/>
      <c r="AH802" s="36"/>
      <c r="AI802" s="36"/>
    </row>
    <row r="803" spans="1:35" x14ac:dyDescent="0.3">
      <c r="A803" s="32" t="str">
        <f t="shared" si="78"/>
        <v/>
      </c>
      <c r="B803" s="33" t="str">
        <f t="shared" si="79"/>
        <v/>
      </c>
      <c r="C803" s="33" t="str">
        <f t="shared" si="80"/>
        <v/>
      </c>
      <c r="D803" s="34"/>
      <c r="E803" s="33" t="str">
        <f t="shared" si="81"/>
        <v/>
      </c>
      <c r="F803" s="33" t="str">
        <f t="shared" si="82"/>
        <v/>
      </c>
      <c r="G803" s="35"/>
      <c r="H803" s="35"/>
      <c r="I803" s="33"/>
      <c r="J803" s="33" t="str">
        <f t="shared" si="83"/>
        <v/>
      </c>
      <c r="K803" s="36"/>
      <c r="L803" s="37"/>
      <c r="M803" s="37"/>
      <c r="N803" s="37"/>
      <c r="O803" s="37"/>
      <c r="P803" s="37"/>
      <c r="Q803" s="37"/>
      <c r="R803" s="37"/>
      <c r="S803" s="37"/>
      <c r="T803" s="38"/>
      <c r="U803" s="40"/>
      <c r="V803" s="40"/>
      <c r="W803" s="40"/>
      <c r="X803" s="41"/>
      <c r="Y803" s="37"/>
      <c r="Z803" s="37"/>
      <c r="AA803" s="37"/>
      <c r="AB803" s="37"/>
      <c r="AC803" s="37"/>
      <c r="AD803" s="40"/>
      <c r="AE803" s="40"/>
      <c r="AF803" s="40"/>
      <c r="AG803" s="42"/>
      <c r="AH803" s="36"/>
      <c r="AI803" s="36"/>
    </row>
    <row r="804" spans="1:35" x14ac:dyDescent="0.3">
      <c r="A804" s="32" t="str">
        <f t="shared" si="78"/>
        <v/>
      </c>
      <c r="B804" s="33" t="str">
        <f t="shared" si="79"/>
        <v/>
      </c>
      <c r="C804" s="33" t="str">
        <f t="shared" si="80"/>
        <v/>
      </c>
      <c r="D804" s="34"/>
      <c r="E804" s="33" t="str">
        <f t="shared" si="81"/>
        <v/>
      </c>
      <c r="F804" s="33" t="str">
        <f t="shared" si="82"/>
        <v/>
      </c>
      <c r="G804" s="35"/>
      <c r="H804" s="35"/>
      <c r="I804" s="33"/>
      <c r="J804" s="33" t="str">
        <f t="shared" si="83"/>
        <v/>
      </c>
      <c r="K804" s="36"/>
      <c r="L804" s="37"/>
      <c r="M804" s="37"/>
      <c r="N804" s="37"/>
      <c r="O804" s="37"/>
      <c r="P804" s="37"/>
      <c r="Q804" s="37"/>
      <c r="R804" s="37"/>
      <c r="S804" s="37"/>
      <c r="T804" s="38"/>
      <c r="U804" s="40"/>
      <c r="V804" s="40"/>
      <c r="W804" s="40"/>
      <c r="X804" s="41"/>
      <c r="Y804" s="37"/>
      <c r="Z804" s="37"/>
      <c r="AA804" s="37"/>
      <c r="AB804" s="37"/>
      <c r="AC804" s="37"/>
      <c r="AD804" s="40"/>
      <c r="AE804" s="40"/>
      <c r="AF804" s="40"/>
      <c r="AG804" s="42"/>
      <c r="AH804" s="36"/>
      <c r="AI804" s="36"/>
    </row>
    <row r="805" spans="1:35" x14ac:dyDescent="0.3">
      <c r="A805" s="32" t="str">
        <f t="shared" si="78"/>
        <v/>
      </c>
      <c r="B805" s="33" t="str">
        <f t="shared" si="79"/>
        <v/>
      </c>
      <c r="C805" s="33" t="str">
        <f t="shared" si="80"/>
        <v/>
      </c>
      <c r="D805" s="34"/>
      <c r="E805" s="33" t="str">
        <f t="shared" si="81"/>
        <v/>
      </c>
      <c r="F805" s="33" t="str">
        <f t="shared" si="82"/>
        <v/>
      </c>
      <c r="G805" s="35"/>
      <c r="H805" s="35"/>
      <c r="I805" s="33"/>
      <c r="J805" s="33" t="str">
        <f t="shared" si="83"/>
        <v/>
      </c>
      <c r="K805" s="36"/>
      <c r="L805" s="37"/>
      <c r="M805" s="37"/>
      <c r="N805" s="37"/>
      <c r="O805" s="37"/>
      <c r="P805" s="37"/>
      <c r="Q805" s="37"/>
      <c r="R805" s="37"/>
      <c r="S805" s="37"/>
      <c r="T805" s="38"/>
      <c r="U805" s="40"/>
      <c r="V805" s="40"/>
      <c r="W805" s="40"/>
      <c r="X805" s="41"/>
      <c r="Y805" s="37"/>
      <c r="Z805" s="37"/>
      <c r="AA805" s="37"/>
      <c r="AB805" s="37"/>
      <c r="AC805" s="37"/>
      <c r="AD805" s="40"/>
      <c r="AE805" s="40"/>
      <c r="AF805" s="40"/>
      <c r="AG805" s="42"/>
      <c r="AH805" s="36"/>
      <c r="AI805" s="36"/>
    </row>
    <row r="806" spans="1:35" x14ac:dyDescent="0.3">
      <c r="A806" s="32" t="str">
        <f t="shared" si="78"/>
        <v/>
      </c>
      <c r="B806" s="33" t="str">
        <f t="shared" si="79"/>
        <v/>
      </c>
      <c r="C806" s="33" t="str">
        <f t="shared" si="80"/>
        <v/>
      </c>
      <c r="D806" s="34"/>
      <c r="E806" s="33" t="str">
        <f t="shared" si="81"/>
        <v/>
      </c>
      <c r="F806" s="33" t="str">
        <f t="shared" si="82"/>
        <v/>
      </c>
      <c r="G806" s="35"/>
      <c r="H806" s="35"/>
      <c r="I806" s="33"/>
      <c r="J806" s="33" t="str">
        <f t="shared" si="83"/>
        <v/>
      </c>
      <c r="K806" s="36"/>
      <c r="L806" s="37"/>
      <c r="M806" s="37"/>
      <c r="N806" s="37"/>
      <c r="O806" s="37"/>
      <c r="P806" s="37"/>
      <c r="Q806" s="37"/>
      <c r="R806" s="37"/>
      <c r="S806" s="37"/>
      <c r="T806" s="38"/>
      <c r="U806" s="40"/>
      <c r="V806" s="40"/>
      <c r="W806" s="40"/>
      <c r="X806" s="41"/>
      <c r="Y806" s="37"/>
      <c r="Z806" s="37"/>
      <c r="AA806" s="37"/>
      <c r="AB806" s="37"/>
      <c r="AC806" s="37"/>
      <c r="AD806" s="40"/>
      <c r="AE806" s="40"/>
      <c r="AF806" s="40"/>
      <c r="AG806" s="42"/>
      <c r="AH806" s="36"/>
      <c r="AI806" s="36"/>
    </row>
    <row r="807" spans="1:35" x14ac:dyDescent="0.3">
      <c r="A807" s="32" t="str">
        <f t="shared" si="78"/>
        <v/>
      </c>
      <c r="B807" s="33" t="str">
        <f t="shared" si="79"/>
        <v/>
      </c>
      <c r="C807" s="33" t="str">
        <f t="shared" si="80"/>
        <v/>
      </c>
      <c r="D807" s="34"/>
      <c r="E807" s="33" t="str">
        <f t="shared" si="81"/>
        <v/>
      </c>
      <c r="F807" s="33" t="str">
        <f t="shared" si="82"/>
        <v/>
      </c>
      <c r="G807" s="35"/>
      <c r="H807" s="35"/>
      <c r="I807" s="33"/>
      <c r="J807" s="33" t="str">
        <f t="shared" si="83"/>
        <v/>
      </c>
      <c r="K807" s="36"/>
      <c r="L807" s="37"/>
      <c r="M807" s="37"/>
      <c r="N807" s="37"/>
      <c r="O807" s="37"/>
      <c r="P807" s="37"/>
      <c r="Q807" s="37"/>
      <c r="R807" s="37"/>
      <c r="S807" s="37"/>
      <c r="T807" s="38"/>
      <c r="U807" s="40"/>
      <c r="V807" s="40"/>
      <c r="W807" s="40"/>
      <c r="X807" s="41"/>
      <c r="Y807" s="37"/>
      <c r="Z807" s="37"/>
      <c r="AA807" s="37"/>
      <c r="AB807" s="37"/>
      <c r="AC807" s="37"/>
      <c r="AD807" s="40"/>
      <c r="AE807" s="40"/>
      <c r="AF807" s="40"/>
      <c r="AG807" s="42"/>
      <c r="AH807" s="36"/>
      <c r="AI807" s="36"/>
    </row>
    <row r="808" spans="1:35" x14ac:dyDescent="0.3">
      <c r="A808" s="32" t="str">
        <f t="shared" si="78"/>
        <v/>
      </c>
      <c r="B808" s="33" t="str">
        <f t="shared" si="79"/>
        <v/>
      </c>
      <c r="C808" s="33" t="str">
        <f t="shared" si="80"/>
        <v/>
      </c>
      <c r="D808" s="34"/>
      <c r="E808" s="33" t="str">
        <f t="shared" si="81"/>
        <v/>
      </c>
      <c r="F808" s="33" t="str">
        <f t="shared" si="82"/>
        <v/>
      </c>
      <c r="G808" s="35"/>
      <c r="H808" s="35"/>
      <c r="I808" s="33"/>
      <c r="J808" s="33" t="str">
        <f t="shared" si="83"/>
        <v/>
      </c>
      <c r="K808" s="36"/>
      <c r="L808" s="37"/>
      <c r="M808" s="37"/>
      <c r="N808" s="37"/>
      <c r="O808" s="37"/>
      <c r="P808" s="37"/>
      <c r="Q808" s="37"/>
      <c r="R808" s="37"/>
      <c r="S808" s="37"/>
      <c r="T808" s="38"/>
      <c r="U808" s="40"/>
      <c r="V808" s="40"/>
      <c r="W808" s="40"/>
      <c r="X808" s="41"/>
      <c r="Y808" s="37"/>
      <c r="Z808" s="37"/>
      <c r="AA808" s="37"/>
      <c r="AB808" s="37"/>
      <c r="AC808" s="37"/>
      <c r="AD808" s="40"/>
      <c r="AE808" s="40"/>
      <c r="AF808" s="40"/>
      <c r="AG808" s="42"/>
      <c r="AH808" s="36"/>
      <c r="AI808" s="36"/>
    </row>
    <row r="809" spans="1:35" x14ac:dyDescent="0.3">
      <c r="A809" s="32" t="str">
        <f t="shared" si="78"/>
        <v/>
      </c>
      <c r="B809" s="33" t="str">
        <f t="shared" si="79"/>
        <v/>
      </c>
      <c r="C809" s="33" t="str">
        <f t="shared" si="80"/>
        <v/>
      </c>
      <c r="D809" s="34"/>
      <c r="E809" s="33" t="str">
        <f t="shared" si="81"/>
        <v/>
      </c>
      <c r="F809" s="33" t="str">
        <f t="shared" si="82"/>
        <v/>
      </c>
      <c r="G809" s="35"/>
      <c r="H809" s="35"/>
      <c r="I809" s="33"/>
      <c r="J809" s="33" t="str">
        <f t="shared" si="83"/>
        <v/>
      </c>
      <c r="K809" s="36"/>
      <c r="L809" s="37"/>
      <c r="M809" s="37"/>
      <c r="N809" s="37"/>
      <c r="O809" s="37"/>
      <c r="P809" s="37"/>
      <c r="Q809" s="37"/>
      <c r="R809" s="37"/>
      <c r="S809" s="37"/>
      <c r="T809" s="38"/>
      <c r="U809" s="40"/>
      <c r="V809" s="40"/>
      <c r="W809" s="40"/>
      <c r="X809" s="41"/>
      <c r="Y809" s="37"/>
      <c r="Z809" s="37"/>
      <c r="AA809" s="37"/>
      <c r="AB809" s="37"/>
      <c r="AC809" s="37"/>
      <c r="AD809" s="40"/>
      <c r="AE809" s="40"/>
      <c r="AF809" s="40"/>
      <c r="AG809" s="42"/>
      <c r="AH809" s="36"/>
      <c r="AI809" s="36"/>
    </row>
    <row r="810" spans="1:35" x14ac:dyDescent="0.3">
      <c r="A810" s="32" t="str">
        <f t="shared" si="78"/>
        <v/>
      </c>
      <c r="B810" s="33" t="str">
        <f t="shared" si="79"/>
        <v/>
      </c>
      <c r="C810" s="33" t="str">
        <f t="shared" si="80"/>
        <v/>
      </c>
      <c r="D810" s="34"/>
      <c r="E810" s="33" t="str">
        <f t="shared" si="81"/>
        <v/>
      </c>
      <c r="F810" s="33" t="str">
        <f t="shared" si="82"/>
        <v/>
      </c>
      <c r="G810" s="35"/>
      <c r="H810" s="35"/>
      <c r="I810" s="33"/>
      <c r="J810" s="33" t="str">
        <f t="shared" si="83"/>
        <v/>
      </c>
      <c r="K810" s="36"/>
      <c r="L810" s="37"/>
      <c r="M810" s="37"/>
      <c r="N810" s="37"/>
      <c r="O810" s="37"/>
      <c r="P810" s="37"/>
      <c r="Q810" s="37"/>
      <c r="R810" s="37"/>
      <c r="S810" s="37"/>
      <c r="T810" s="38"/>
      <c r="U810" s="40"/>
      <c r="V810" s="40"/>
      <c r="W810" s="40"/>
      <c r="X810" s="41"/>
      <c r="Y810" s="37"/>
      <c r="Z810" s="37"/>
      <c r="AA810" s="37"/>
      <c r="AB810" s="37"/>
      <c r="AC810" s="37"/>
      <c r="AD810" s="40"/>
      <c r="AE810" s="40"/>
      <c r="AF810" s="40"/>
      <c r="AG810" s="42"/>
      <c r="AH810" s="36"/>
      <c r="AI810" s="36"/>
    </row>
    <row r="811" spans="1:35" x14ac:dyDescent="0.3">
      <c r="A811" s="32" t="str">
        <f t="shared" si="78"/>
        <v/>
      </c>
      <c r="B811" s="33" t="str">
        <f t="shared" si="79"/>
        <v/>
      </c>
      <c r="C811" s="33" t="str">
        <f t="shared" si="80"/>
        <v/>
      </c>
      <c r="D811" s="34"/>
      <c r="E811" s="33" t="str">
        <f t="shared" si="81"/>
        <v/>
      </c>
      <c r="F811" s="33" t="str">
        <f t="shared" si="82"/>
        <v/>
      </c>
      <c r="G811" s="35"/>
      <c r="H811" s="35"/>
      <c r="I811" s="33"/>
      <c r="J811" s="33" t="str">
        <f t="shared" si="83"/>
        <v/>
      </c>
      <c r="K811" s="36"/>
      <c r="L811" s="37"/>
      <c r="M811" s="37"/>
      <c r="N811" s="37"/>
      <c r="O811" s="37"/>
      <c r="P811" s="37"/>
      <c r="Q811" s="37"/>
      <c r="R811" s="37"/>
      <c r="S811" s="37"/>
      <c r="T811" s="38"/>
      <c r="U811" s="40"/>
      <c r="V811" s="40"/>
      <c r="W811" s="40"/>
      <c r="X811" s="41"/>
      <c r="Y811" s="37"/>
      <c r="Z811" s="37"/>
      <c r="AA811" s="37"/>
      <c r="AB811" s="37"/>
      <c r="AC811" s="37"/>
      <c r="AD811" s="40"/>
      <c r="AE811" s="40"/>
      <c r="AF811" s="40"/>
      <c r="AG811" s="42"/>
      <c r="AH811" s="36"/>
      <c r="AI811" s="36"/>
    </row>
    <row r="812" spans="1:35" x14ac:dyDescent="0.3">
      <c r="A812" s="32" t="str">
        <f t="shared" si="78"/>
        <v/>
      </c>
      <c r="B812" s="33" t="str">
        <f t="shared" si="79"/>
        <v/>
      </c>
      <c r="C812" s="33" t="str">
        <f t="shared" si="80"/>
        <v/>
      </c>
      <c r="D812" s="34"/>
      <c r="E812" s="33" t="str">
        <f t="shared" si="81"/>
        <v/>
      </c>
      <c r="F812" s="33" t="str">
        <f t="shared" si="82"/>
        <v/>
      </c>
      <c r="G812" s="35"/>
      <c r="H812" s="35"/>
      <c r="I812" s="33"/>
      <c r="J812" s="33" t="str">
        <f t="shared" si="83"/>
        <v/>
      </c>
      <c r="K812" s="36"/>
      <c r="L812" s="37"/>
      <c r="M812" s="37"/>
      <c r="N812" s="37"/>
      <c r="O812" s="37"/>
      <c r="P812" s="37"/>
      <c r="Q812" s="37"/>
      <c r="R812" s="37"/>
      <c r="S812" s="37"/>
      <c r="T812" s="38"/>
      <c r="U812" s="40"/>
      <c r="V812" s="40"/>
      <c r="W812" s="40"/>
      <c r="X812" s="41"/>
      <c r="Y812" s="37"/>
      <c r="Z812" s="37"/>
      <c r="AA812" s="37"/>
      <c r="AB812" s="37"/>
      <c r="AC812" s="37"/>
      <c r="AD812" s="40"/>
      <c r="AE812" s="40"/>
      <c r="AF812" s="40"/>
      <c r="AG812" s="42"/>
      <c r="AH812" s="36"/>
      <c r="AI812" s="36"/>
    </row>
    <row r="813" spans="1:35" x14ac:dyDescent="0.3">
      <c r="A813" s="32" t="str">
        <f t="shared" si="78"/>
        <v/>
      </c>
      <c r="B813" s="33" t="str">
        <f t="shared" si="79"/>
        <v/>
      </c>
      <c r="C813" s="33" t="str">
        <f t="shared" si="80"/>
        <v/>
      </c>
      <c r="D813" s="34"/>
      <c r="E813" s="33" t="str">
        <f t="shared" si="81"/>
        <v/>
      </c>
      <c r="F813" s="33" t="str">
        <f t="shared" si="82"/>
        <v/>
      </c>
      <c r="G813" s="35"/>
      <c r="H813" s="35"/>
      <c r="I813" s="33"/>
      <c r="J813" s="33" t="str">
        <f t="shared" si="83"/>
        <v/>
      </c>
      <c r="K813" s="36"/>
      <c r="L813" s="37"/>
      <c r="M813" s="37"/>
      <c r="N813" s="37"/>
      <c r="O813" s="37"/>
      <c r="P813" s="37"/>
      <c r="Q813" s="37"/>
      <c r="R813" s="37"/>
      <c r="S813" s="37"/>
      <c r="T813" s="38"/>
      <c r="U813" s="40"/>
      <c r="V813" s="40"/>
      <c r="W813" s="40"/>
      <c r="X813" s="41"/>
      <c r="Y813" s="37"/>
      <c r="Z813" s="37"/>
      <c r="AA813" s="37"/>
      <c r="AB813" s="37"/>
      <c r="AC813" s="37"/>
      <c r="AD813" s="40"/>
      <c r="AE813" s="40"/>
      <c r="AF813" s="40"/>
      <c r="AG813" s="42"/>
      <c r="AH813" s="36"/>
      <c r="AI813" s="36"/>
    </row>
    <row r="814" spans="1:35" x14ac:dyDescent="0.3">
      <c r="A814" s="32" t="str">
        <f t="shared" si="78"/>
        <v/>
      </c>
      <c r="B814" s="33" t="str">
        <f t="shared" si="79"/>
        <v/>
      </c>
      <c r="C814" s="33" t="str">
        <f t="shared" si="80"/>
        <v/>
      </c>
      <c r="D814" s="34"/>
      <c r="E814" s="33" t="str">
        <f t="shared" si="81"/>
        <v/>
      </c>
      <c r="F814" s="33" t="str">
        <f t="shared" si="82"/>
        <v/>
      </c>
      <c r="G814" s="35"/>
      <c r="H814" s="35"/>
      <c r="I814" s="33"/>
      <c r="J814" s="33" t="str">
        <f t="shared" si="83"/>
        <v/>
      </c>
      <c r="K814" s="36"/>
      <c r="L814" s="37"/>
      <c r="M814" s="37"/>
      <c r="N814" s="37"/>
      <c r="O814" s="37"/>
      <c r="P814" s="37"/>
      <c r="Q814" s="37"/>
      <c r="R814" s="37"/>
      <c r="S814" s="37"/>
      <c r="T814" s="38"/>
      <c r="U814" s="40"/>
      <c r="V814" s="40"/>
      <c r="W814" s="40"/>
      <c r="X814" s="41"/>
      <c r="Y814" s="37"/>
      <c r="Z814" s="37"/>
      <c r="AA814" s="37"/>
      <c r="AB814" s="37"/>
      <c r="AC814" s="37"/>
      <c r="AD814" s="40"/>
      <c r="AE814" s="40"/>
      <c r="AF814" s="40"/>
      <c r="AG814" s="42"/>
      <c r="AH814" s="36"/>
      <c r="AI814" s="36"/>
    </row>
    <row r="815" spans="1:35" x14ac:dyDescent="0.3">
      <c r="A815" s="32" t="str">
        <f t="shared" si="78"/>
        <v/>
      </c>
      <c r="B815" s="33" t="str">
        <f t="shared" si="79"/>
        <v/>
      </c>
      <c r="C815" s="33" t="str">
        <f t="shared" si="80"/>
        <v/>
      </c>
      <c r="D815" s="34"/>
      <c r="E815" s="33" t="str">
        <f t="shared" si="81"/>
        <v/>
      </c>
      <c r="F815" s="33" t="str">
        <f t="shared" si="82"/>
        <v/>
      </c>
      <c r="G815" s="35"/>
      <c r="H815" s="35"/>
      <c r="I815" s="33"/>
      <c r="J815" s="33" t="str">
        <f t="shared" si="83"/>
        <v/>
      </c>
      <c r="K815" s="36"/>
      <c r="L815" s="37"/>
      <c r="M815" s="37"/>
      <c r="N815" s="37"/>
      <c r="O815" s="37"/>
      <c r="P815" s="37"/>
      <c r="Q815" s="37"/>
      <c r="R815" s="37"/>
      <c r="S815" s="37"/>
      <c r="T815" s="38"/>
      <c r="U815" s="40"/>
      <c r="V815" s="40"/>
      <c r="W815" s="40"/>
      <c r="X815" s="41"/>
      <c r="Y815" s="37"/>
      <c r="Z815" s="37"/>
      <c r="AA815" s="37"/>
      <c r="AB815" s="37"/>
      <c r="AC815" s="37"/>
      <c r="AD815" s="40"/>
      <c r="AE815" s="40"/>
      <c r="AF815" s="40"/>
      <c r="AG815" s="42"/>
      <c r="AH815" s="36"/>
      <c r="AI815" s="36"/>
    </row>
    <row r="816" spans="1:35" x14ac:dyDescent="0.3">
      <c r="A816" s="32" t="str">
        <f t="shared" si="78"/>
        <v/>
      </c>
      <c r="B816" s="33" t="str">
        <f t="shared" si="79"/>
        <v/>
      </c>
      <c r="C816" s="33" t="str">
        <f t="shared" si="80"/>
        <v/>
      </c>
      <c r="D816" s="34"/>
      <c r="E816" s="33" t="str">
        <f t="shared" si="81"/>
        <v/>
      </c>
      <c r="F816" s="33" t="str">
        <f t="shared" si="82"/>
        <v/>
      </c>
      <c r="G816" s="35"/>
      <c r="H816" s="35"/>
      <c r="I816" s="33"/>
      <c r="J816" s="33" t="str">
        <f t="shared" si="83"/>
        <v/>
      </c>
      <c r="K816" s="36"/>
      <c r="L816" s="37"/>
      <c r="M816" s="37"/>
      <c r="N816" s="37"/>
      <c r="O816" s="37"/>
      <c r="P816" s="37"/>
      <c r="Q816" s="37"/>
      <c r="R816" s="37"/>
      <c r="S816" s="37"/>
      <c r="T816" s="38"/>
      <c r="U816" s="40"/>
      <c r="V816" s="40"/>
      <c r="W816" s="40"/>
      <c r="X816" s="41"/>
      <c r="Y816" s="37"/>
      <c r="Z816" s="37"/>
      <c r="AA816" s="37"/>
      <c r="AB816" s="37"/>
      <c r="AC816" s="37"/>
      <c r="AD816" s="40"/>
      <c r="AE816" s="40"/>
      <c r="AF816" s="40"/>
      <c r="AG816" s="42"/>
      <c r="AH816" s="36"/>
      <c r="AI816" s="36"/>
    </row>
    <row r="817" spans="1:35" x14ac:dyDescent="0.3">
      <c r="A817" s="32" t="str">
        <f t="shared" si="78"/>
        <v/>
      </c>
      <c r="B817" s="33" t="str">
        <f t="shared" si="79"/>
        <v/>
      </c>
      <c r="C817" s="33" t="str">
        <f t="shared" si="80"/>
        <v/>
      </c>
      <c r="D817" s="34"/>
      <c r="E817" s="33" t="str">
        <f t="shared" si="81"/>
        <v/>
      </c>
      <c r="F817" s="33" t="str">
        <f t="shared" si="82"/>
        <v/>
      </c>
      <c r="G817" s="35"/>
      <c r="H817" s="35"/>
      <c r="I817" s="33"/>
      <c r="J817" s="33" t="str">
        <f t="shared" si="83"/>
        <v/>
      </c>
      <c r="K817" s="36"/>
      <c r="L817" s="37"/>
      <c r="M817" s="37"/>
      <c r="N817" s="37"/>
      <c r="O817" s="37"/>
      <c r="P817" s="37"/>
      <c r="Q817" s="37"/>
      <c r="R817" s="37"/>
      <c r="S817" s="37"/>
      <c r="T817" s="38"/>
      <c r="U817" s="40"/>
      <c r="V817" s="40"/>
      <c r="W817" s="40"/>
      <c r="X817" s="41"/>
      <c r="Y817" s="37"/>
      <c r="Z817" s="37"/>
      <c r="AA817" s="37"/>
      <c r="AB817" s="37"/>
      <c r="AC817" s="37"/>
      <c r="AD817" s="40"/>
      <c r="AE817" s="40"/>
      <c r="AF817" s="40"/>
      <c r="AG817" s="42"/>
      <c r="AH817" s="36"/>
      <c r="AI817" s="36"/>
    </row>
    <row r="818" spans="1:35" x14ac:dyDescent="0.3">
      <c r="A818" s="32" t="str">
        <f t="shared" si="78"/>
        <v/>
      </c>
      <c r="B818" s="33" t="str">
        <f t="shared" si="79"/>
        <v/>
      </c>
      <c r="C818" s="33" t="str">
        <f t="shared" si="80"/>
        <v/>
      </c>
      <c r="D818" s="34"/>
      <c r="E818" s="33" t="str">
        <f t="shared" si="81"/>
        <v/>
      </c>
      <c r="F818" s="33" t="str">
        <f t="shared" si="82"/>
        <v/>
      </c>
      <c r="G818" s="35"/>
      <c r="H818" s="35"/>
      <c r="I818" s="33"/>
      <c r="J818" s="33" t="str">
        <f t="shared" si="83"/>
        <v/>
      </c>
      <c r="K818" s="36"/>
      <c r="L818" s="37"/>
      <c r="M818" s="37"/>
      <c r="N818" s="37"/>
      <c r="O818" s="37"/>
      <c r="P818" s="37"/>
      <c r="Q818" s="37"/>
      <c r="R818" s="37"/>
      <c r="S818" s="37"/>
      <c r="T818" s="38"/>
      <c r="U818" s="40"/>
      <c r="V818" s="40"/>
      <c r="W818" s="40"/>
      <c r="X818" s="41"/>
      <c r="Y818" s="37"/>
      <c r="Z818" s="37"/>
      <c r="AA818" s="37"/>
      <c r="AB818" s="37"/>
      <c r="AC818" s="37"/>
      <c r="AD818" s="40"/>
      <c r="AE818" s="40"/>
      <c r="AF818" s="40"/>
      <c r="AG818" s="42"/>
      <c r="AH818" s="36"/>
      <c r="AI818" s="36"/>
    </row>
    <row r="819" spans="1:35" x14ac:dyDescent="0.3">
      <c r="A819" s="32" t="str">
        <f t="shared" si="78"/>
        <v/>
      </c>
      <c r="B819" s="33" t="str">
        <f t="shared" si="79"/>
        <v/>
      </c>
      <c r="C819" s="33" t="str">
        <f t="shared" si="80"/>
        <v/>
      </c>
      <c r="D819" s="34"/>
      <c r="E819" s="33" t="str">
        <f t="shared" si="81"/>
        <v/>
      </c>
      <c r="F819" s="33" t="str">
        <f t="shared" si="82"/>
        <v/>
      </c>
      <c r="G819" s="35"/>
      <c r="H819" s="35"/>
      <c r="I819" s="33"/>
      <c r="J819" s="33" t="str">
        <f t="shared" si="83"/>
        <v/>
      </c>
      <c r="K819" s="36"/>
      <c r="L819" s="37"/>
      <c r="M819" s="37"/>
      <c r="N819" s="37"/>
      <c r="O819" s="37"/>
      <c r="P819" s="37"/>
      <c r="Q819" s="37"/>
      <c r="R819" s="37"/>
      <c r="S819" s="37"/>
      <c r="T819" s="38"/>
      <c r="U819" s="40"/>
      <c r="V819" s="40"/>
      <c r="W819" s="40"/>
      <c r="X819" s="41"/>
      <c r="Y819" s="37"/>
      <c r="Z819" s="37"/>
      <c r="AA819" s="37"/>
      <c r="AB819" s="37"/>
      <c r="AC819" s="37"/>
      <c r="AD819" s="40"/>
      <c r="AE819" s="40"/>
      <c r="AF819" s="40"/>
      <c r="AG819" s="42"/>
      <c r="AH819" s="36"/>
      <c r="AI819" s="36"/>
    </row>
    <row r="820" spans="1:35" x14ac:dyDescent="0.3">
      <c r="A820" s="32" t="str">
        <f t="shared" si="78"/>
        <v/>
      </c>
      <c r="B820" s="33" t="str">
        <f t="shared" si="79"/>
        <v/>
      </c>
      <c r="C820" s="33" t="str">
        <f t="shared" si="80"/>
        <v/>
      </c>
      <c r="D820" s="34"/>
      <c r="E820" s="33" t="str">
        <f t="shared" si="81"/>
        <v/>
      </c>
      <c r="F820" s="33" t="str">
        <f t="shared" si="82"/>
        <v/>
      </c>
      <c r="G820" s="35"/>
      <c r="H820" s="35"/>
      <c r="I820" s="33"/>
      <c r="J820" s="33" t="str">
        <f t="shared" si="83"/>
        <v/>
      </c>
      <c r="K820" s="36"/>
      <c r="L820" s="37"/>
      <c r="M820" s="37"/>
      <c r="N820" s="37"/>
      <c r="O820" s="37"/>
      <c r="P820" s="37"/>
      <c r="Q820" s="37"/>
      <c r="R820" s="37"/>
      <c r="S820" s="37"/>
      <c r="T820" s="38"/>
      <c r="U820" s="40"/>
      <c r="V820" s="40"/>
      <c r="W820" s="40"/>
      <c r="X820" s="41"/>
      <c r="Y820" s="37"/>
      <c r="Z820" s="37"/>
      <c r="AA820" s="37"/>
      <c r="AB820" s="37"/>
      <c r="AC820" s="37"/>
      <c r="AD820" s="40"/>
      <c r="AE820" s="40"/>
      <c r="AF820" s="40"/>
      <c r="AG820" s="42"/>
      <c r="AH820" s="36"/>
      <c r="AI820" s="36"/>
    </row>
    <row r="821" spans="1:35" x14ac:dyDescent="0.3">
      <c r="A821" s="32" t="str">
        <f t="shared" si="78"/>
        <v/>
      </c>
      <c r="B821" s="33" t="str">
        <f t="shared" si="79"/>
        <v/>
      </c>
      <c r="C821" s="33" t="str">
        <f t="shared" si="80"/>
        <v/>
      </c>
      <c r="D821" s="34"/>
      <c r="E821" s="33" t="str">
        <f t="shared" si="81"/>
        <v/>
      </c>
      <c r="F821" s="33" t="str">
        <f t="shared" si="82"/>
        <v/>
      </c>
      <c r="G821" s="35"/>
      <c r="H821" s="35"/>
      <c r="I821" s="33"/>
      <c r="J821" s="33" t="str">
        <f t="shared" si="83"/>
        <v/>
      </c>
      <c r="K821" s="36"/>
      <c r="L821" s="37"/>
      <c r="M821" s="37"/>
      <c r="N821" s="37"/>
      <c r="O821" s="37"/>
      <c r="P821" s="37"/>
      <c r="Q821" s="37"/>
      <c r="R821" s="37"/>
      <c r="S821" s="37"/>
      <c r="T821" s="38"/>
      <c r="U821" s="40"/>
      <c r="V821" s="40"/>
      <c r="W821" s="40"/>
      <c r="X821" s="41"/>
      <c r="Y821" s="37"/>
      <c r="Z821" s="37"/>
      <c r="AA821" s="37"/>
      <c r="AB821" s="37"/>
      <c r="AC821" s="37"/>
      <c r="AD821" s="40"/>
      <c r="AE821" s="40"/>
      <c r="AF821" s="40"/>
      <c r="AG821" s="42"/>
      <c r="AH821" s="36"/>
      <c r="AI821" s="36"/>
    </row>
    <row r="822" spans="1:35" x14ac:dyDescent="0.3">
      <c r="A822" s="32" t="str">
        <f t="shared" si="78"/>
        <v/>
      </c>
      <c r="B822" s="33" t="str">
        <f t="shared" si="79"/>
        <v/>
      </c>
      <c r="C822" s="33" t="str">
        <f t="shared" si="80"/>
        <v/>
      </c>
      <c r="D822" s="34"/>
      <c r="E822" s="33" t="str">
        <f t="shared" si="81"/>
        <v/>
      </c>
      <c r="F822" s="33" t="str">
        <f t="shared" si="82"/>
        <v/>
      </c>
      <c r="G822" s="35"/>
      <c r="H822" s="35"/>
      <c r="I822" s="33"/>
      <c r="J822" s="33" t="str">
        <f t="shared" si="83"/>
        <v/>
      </c>
      <c r="K822" s="36"/>
      <c r="L822" s="37"/>
      <c r="M822" s="37"/>
      <c r="N822" s="37"/>
      <c r="O822" s="37"/>
      <c r="P822" s="37"/>
      <c r="Q822" s="37"/>
      <c r="R822" s="37"/>
      <c r="S822" s="37"/>
      <c r="T822" s="38"/>
      <c r="U822" s="40"/>
      <c r="V822" s="40"/>
      <c r="W822" s="40"/>
      <c r="X822" s="41"/>
      <c r="Y822" s="37"/>
      <c r="Z822" s="37"/>
      <c r="AA822" s="37"/>
      <c r="AB822" s="37"/>
      <c r="AC822" s="37"/>
      <c r="AD822" s="40"/>
      <c r="AE822" s="40"/>
      <c r="AF822" s="40"/>
      <c r="AG822" s="42"/>
      <c r="AH822" s="36"/>
      <c r="AI822" s="36"/>
    </row>
    <row r="823" spans="1:35" x14ac:dyDescent="0.3">
      <c r="A823" s="32" t="str">
        <f t="shared" si="78"/>
        <v/>
      </c>
      <c r="B823" s="33" t="str">
        <f t="shared" si="79"/>
        <v/>
      </c>
      <c r="C823" s="33" t="str">
        <f t="shared" si="80"/>
        <v/>
      </c>
      <c r="D823" s="34"/>
      <c r="E823" s="33" t="str">
        <f t="shared" si="81"/>
        <v/>
      </c>
      <c r="F823" s="33" t="str">
        <f t="shared" si="82"/>
        <v/>
      </c>
      <c r="G823" s="35"/>
      <c r="H823" s="35"/>
      <c r="I823" s="33"/>
      <c r="J823" s="33" t="str">
        <f t="shared" si="83"/>
        <v/>
      </c>
      <c r="K823" s="36"/>
      <c r="L823" s="37"/>
      <c r="M823" s="37"/>
      <c r="N823" s="37"/>
      <c r="O823" s="37"/>
      <c r="P823" s="37"/>
      <c r="Q823" s="37"/>
      <c r="R823" s="37"/>
      <c r="S823" s="37"/>
      <c r="T823" s="38"/>
      <c r="U823" s="40"/>
      <c r="V823" s="40"/>
      <c r="W823" s="40"/>
      <c r="X823" s="41"/>
      <c r="Y823" s="37"/>
      <c r="Z823" s="37"/>
      <c r="AA823" s="37"/>
      <c r="AB823" s="37"/>
      <c r="AC823" s="37"/>
      <c r="AD823" s="40"/>
      <c r="AE823" s="40"/>
      <c r="AF823" s="40"/>
      <c r="AG823" s="42"/>
      <c r="AH823" s="36"/>
      <c r="AI823" s="36"/>
    </row>
    <row r="824" spans="1:35" x14ac:dyDescent="0.3">
      <c r="A824" s="32" t="str">
        <f t="shared" si="78"/>
        <v/>
      </c>
      <c r="B824" s="33" t="str">
        <f t="shared" si="79"/>
        <v/>
      </c>
      <c r="C824" s="33" t="str">
        <f t="shared" si="80"/>
        <v/>
      </c>
      <c r="D824" s="34"/>
      <c r="E824" s="33" t="str">
        <f t="shared" si="81"/>
        <v/>
      </c>
      <c r="F824" s="33" t="str">
        <f t="shared" si="82"/>
        <v/>
      </c>
      <c r="G824" s="35"/>
      <c r="H824" s="35"/>
      <c r="I824" s="33"/>
      <c r="J824" s="33" t="str">
        <f t="shared" si="83"/>
        <v/>
      </c>
      <c r="K824" s="36"/>
      <c r="L824" s="37"/>
      <c r="M824" s="37"/>
      <c r="N824" s="37"/>
      <c r="O824" s="37"/>
      <c r="P824" s="37"/>
      <c r="Q824" s="37"/>
      <c r="R824" s="37"/>
      <c r="S824" s="37"/>
      <c r="T824" s="38"/>
      <c r="U824" s="40"/>
      <c r="V824" s="40"/>
      <c r="W824" s="40"/>
      <c r="X824" s="41"/>
      <c r="Y824" s="37"/>
      <c r="Z824" s="37"/>
      <c r="AA824" s="37"/>
      <c r="AB824" s="37"/>
      <c r="AC824" s="37"/>
      <c r="AD824" s="40"/>
      <c r="AE824" s="40"/>
      <c r="AF824" s="40"/>
      <c r="AG824" s="42"/>
      <c r="AH824" s="36"/>
      <c r="AI824" s="36"/>
    </row>
    <row r="825" spans="1:35" x14ac:dyDescent="0.3">
      <c r="A825" s="32" t="str">
        <f t="shared" si="78"/>
        <v/>
      </c>
      <c r="B825" s="33" t="str">
        <f t="shared" si="79"/>
        <v/>
      </c>
      <c r="C825" s="33" t="str">
        <f t="shared" si="80"/>
        <v/>
      </c>
      <c r="D825" s="34"/>
      <c r="E825" s="33" t="str">
        <f t="shared" si="81"/>
        <v/>
      </c>
      <c r="F825" s="33" t="str">
        <f t="shared" si="82"/>
        <v/>
      </c>
      <c r="G825" s="35"/>
      <c r="H825" s="35"/>
      <c r="I825" s="33"/>
      <c r="J825" s="33" t="str">
        <f t="shared" si="83"/>
        <v/>
      </c>
      <c r="K825" s="36"/>
      <c r="L825" s="37"/>
      <c r="M825" s="37"/>
      <c r="N825" s="37"/>
      <c r="O825" s="37"/>
      <c r="P825" s="37"/>
      <c r="Q825" s="37"/>
      <c r="R825" s="37"/>
      <c r="S825" s="37"/>
      <c r="T825" s="38"/>
      <c r="U825" s="40"/>
      <c r="V825" s="40"/>
      <c r="W825" s="40"/>
      <c r="X825" s="41"/>
      <c r="Y825" s="37"/>
      <c r="Z825" s="37"/>
      <c r="AA825" s="37"/>
      <c r="AB825" s="37"/>
      <c r="AC825" s="37"/>
      <c r="AD825" s="40"/>
      <c r="AE825" s="40"/>
      <c r="AF825" s="40"/>
      <c r="AG825" s="42"/>
      <c r="AH825" s="36"/>
      <c r="AI825" s="36"/>
    </row>
    <row r="826" spans="1:35" x14ac:dyDescent="0.3">
      <c r="A826" s="32" t="str">
        <f t="shared" si="78"/>
        <v/>
      </c>
      <c r="B826" s="33" t="str">
        <f t="shared" si="79"/>
        <v/>
      </c>
      <c r="C826" s="33" t="str">
        <f t="shared" si="80"/>
        <v/>
      </c>
      <c r="D826" s="34"/>
      <c r="E826" s="33" t="str">
        <f t="shared" si="81"/>
        <v/>
      </c>
      <c r="F826" s="33" t="str">
        <f t="shared" si="82"/>
        <v/>
      </c>
      <c r="G826" s="35"/>
      <c r="H826" s="35"/>
      <c r="I826" s="33"/>
      <c r="J826" s="33" t="str">
        <f t="shared" si="83"/>
        <v/>
      </c>
      <c r="K826" s="36"/>
      <c r="L826" s="37"/>
      <c r="M826" s="37"/>
      <c r="N826" s="37"/>
      <c r="O826" s="37"/>
      <c r="P826" s="37"/>
      <c r="Q826" s="37"/>
      <c r="R826" s="37"/>
      <c r="S826" s="37"/>
      <c r="T826" s="38"/>
      <c r="U826" s="40"/>
      <c r="V826" s="40"/>
      <c r="W826" s="40"/>
      <c r="X826" s="41"/>
      <c r="Y826" s="37"/>
      <c r="Z826" s="37"/>
      <c r="AA826" s="37"/>
      <c r="AB826" s="37"/>
      <c r="AC826" s="37"/>
      <c r="AD826" s="40"/>
      <c r="AE826" s="40"/>
      <c r="AF826" s="40"/>
      <c r="AG826" s="42"/>
      <c r="AH826" s="36"/>
      <c r="AI826" s="36"/>
    </row>
    <row r="827" spans="1:35" x14ac:dyDescent="0.3">
      <c r="A827" s="32" t="str">
        <f t="shared" si="78"/>
        <v/>
      </c>
      <c r="B827" s="33" t="str">
        <f t="shared" si="79"/>
        <v/>
      </c>
      <c r="C827" s="33" t="str">
        <f t="shared" si="80"/>
        <v/>
      </c>
      <c r="D827" s="34"/>
      <c r="E827" s="33" t="str">
        <f t="shared" si="81"/>
        <v/>
      </c>
      <c r="F827" s="33" t="str">
        <f t="shared" si="82"/>
        <v/>
      </c>
      <c r="G827" s="35"/>
      <c r="H827" s="35"/>
      <c r="I827" s="33"/>
      <c r="J827" s="33" t="str">
        <f t="shared" si="83"/>
        <v/>
      </c>
      <c r="K827" s="36"/>
      <c r="L827" s="37"/>
      <c r="M827" s="37"/>
      <c r="N827" s="37"/>
      <c r="O827" s="37"/>
      <c r="P827" s="37"/>
      <c r="Q827" s="37"/>
      <c r="R827" s="37"/>
      <c r="S827" s="37"/>
      <c r="T827" s="38"/>
      <c r="U827" s="40"/>
      <c r="V827" s="40"/>
      <c r="W827" s="40"/>
      <c r="X827" s="41"/>
      <c r="Y827" s="37"/>
      <c r="Z827" s="37"/>
      <c r="AA827" s="37"/>
      <c r="AB827" s="37"/>
      <c r="AC827" s="37"/>
      <c r="AD827" s="40"/>
      <c r="AE827" s="40"/>
      <c r="AF827" s="40"/>
      <c r="AG827" s="42"/>
      <c r="AH827" s="36"/>
      <c r="AI827" s="36"/>
    </row>
    <row r="828" spans="1:35" x14ac:dyDescent="0.3">
      <c r="A828" s="32" t="str">
        <f t="shared" si="78"/>
        <v/>
      </c>
      <c r="B828" s="33" t="str">
        <f t="shared" si="79"/>
        <v/>
      </c>
      <c r="C828" s="33" t="str">
        <f t="shared" si="80"/>
        <v/>
      </c>
      <c r="D828" s="34"/>
      <c r="E828" s="33" t="str">
        <f t="shared" si="81"/>
        <v/>
      </c>
      <c r="F828" s="33" t="str">
        <f t="shared" si="82"/>
        <v/>
      </c>
      <c r="G828" s="35"/>
      <c r="H828" s="35"/>
      <c r="I828" s="33"/>
      <c r="J828" s="33" t="str">
        <f t="shared" si="83"/>
        <v/>
      </c>
      <c r="K828" s="36"/>
      <c r="L828" s="37"/>
      <c r="M828" s="37"/>
      <c r="N828" s="37"/>
      <c r="O828" s="37"/>
      <c r="P828" s="37"/>
      <c r="Q828" s="37"/>
      <c r="R828" s="37"/>
      <c r="S828" s="37"/>
      <c r="T828" s="38"/>
      <c r="U828" s="40"/>
      <c r="V828" s="40"/>
      <c r="W828" s="40"/>
      <c r="X828" s="41"/>
      <c r="Y828" s="37"/>
      <c r="Z828" s="37"/>
      <c r="AA828" s="37"/>
      <c r="AB828" s="37"/>
      <c r="AC828" s="37"/>
      <c r="AD828" s="40"/>
      <c r="AE828" s="40"/>
      <c r="AF828" s="40"/>
      <c r="AG828" s="42"/>
      <c r="AH828" s="36"/>
      <c r="AI828" s="36"/>
    </row>
    <row r="829" spans="1:35" x14ac:dyDescent="0.3">
      <c r="A829" s="32" t="str">
        <f t="shared" si="78"/>
        <v/>
      </c>
      <c r="B829" s="33" t="str">
        <f t="shared" si="79"/>
        <v/>
      </c>
      <c r="C829" s="33" t="str">
        <f t="shared" si="80"/>
        <v/>
      </c>
      <c r="D829" s="34"/>
      <c r="E829" s="33" t="str">
        <f t="shared" si="81"/>
        <v/>
      </c>
      <c r="F829" s="33" t="str">
        <f t="shared" si="82"/>
        <v/>
      </c>
      <c r="G829" s="35"/>
      <c r="H829" s="35"/>
      <c r="I829" s="33"/>
      <c r="J829" s="33" t="str">
        <f t="shared" si="83"/>
        <v/>
      </c>
      <c r="K829" s="36"/>
      <c r="L829" s="37"/>
      <c r="M829" s="37"/>
      <c r="N829" s="37"/>
      <c r="O829" s="37"/>
      <c r="P829" s="37"/>
      <c r="Q829" s="37"/>
      <c r="R829" s="37"/>
      <c r="S829" s="37"/>
      <c r="T829" s="38"/>
      <c r="U829" s="40"/>
      <c r="V829" s="40"/>
      <c r="W829" s="40"/>
      <c r="X829" s="41"/>
      <c r="Y829" s="37"/>
      <c r="Z829" s="37"/>
      <c r="AA829" s="37"/>
      <c r="AB829" s="37"/>
      <c r="AC829" s="37"/>
      <c r="AD829" s="40"/>
      <c r="AE829" s="40"/>
      <c r="AF829" s="40"/>
      <c r="AG829" s="42"/>
      <c r="AH829" s="36"/>
      <c r="AI829" s="36"/>
    </row>
    <row r="830" spans="1:35" x14ac:dyDescent="0.3">
      <c r="A830" s="32" t="str">
        <f t="shared" si="78"/>
        <v/>
      </c>
      <c r="B830" s="33" t="str">
        <f t="shared" si="79"/>
        <v/>
      </c>
      <c r="C830" s="33" t="str">
        <f t="shared" si="80"/>
        <v/>
      </c>
      <c r="D830" s="34"/>
      <c r="E830" s="33" t="str">
        <f t="shared" si="81"/>
        <v/>
      </c>
      <c r="F830" s="33" t="str">
        <f t="shared" si="82"/>
        <v/>
      </c>
      <c r="G830" s="35"/>
      <c r="H830" s="35"/>
      <c r="I830" s="33"/>
      <c r="J830" s="33" t="str">
        <f t="shared" si="83"/>
        <v/>
      </c>
      <c r="K830" s="36"/>
      <c r="L830" s="37"/>
      <c r="M830" s="37"/>
      <c r="N830" s="37"/>
      <c r="O830" s="37"/>
      <c r="P830" s="37"/>
      <c r="Q830" s="37"/>
      <c r="R830" s="37"/>
      <c r="S830" s="37"/>
      <c r="T830" s="38"/>
      <c r="U830" s="40"/>
      <c r="V830" s="40"/>
      <c r="W830" s="40"/>
      <c r="X830" s="41"/>
      <c r="Y830" s="37"/>
      <c r="Z830" s="37"/>
      <c r="AA830" s="37"/>
      <c r="AB830" s="37"/>
      <c r="AC830" s="37"/>
      <c r="AD830" s="40"/>
      <c r="AE830" s="40"/>
      <c r="AF830" s="40"/>
      <c r="AG830" s="42"/>
      <c r="AH830" s="36"/>
      <c r="AI830" s="36"/>
    </row>
    <row r="831" spans="1:35" x14ac:dyDescent="0.3">
      <c r="A831" s="32" t="str">
        <f t="shared" si="78"/>
        <v/>
      </c>
      <c r="B831" s="33" t="str">
        <f t="shared" si="79"/>
        <v/>
      </c>
      <c r="C831" s="33" t="str">
        <f t="shared" si="80"/>
        <v/>
      </c>
      <c r="D831" s="34"/>
      <c r="E831" s="33" t="str">
        <f t="shared" si="81"/>
        <v/>
      </c>
      <c r="F831" s="33" t="str">
        <f t="shared" si="82"/>
        <v/>
      </c>
      <c r="G831" s="35"/>
      <c r="H831" s="35"/>
      <c r="I831" s="33"/>
      <c r="J831" s="33" t="str">
        <f t="shared" si="83"/>
        <v/>
      </c>
      <c r="K831" s="36"/>
      <c r="L831" s="37"/>
      <c r="M831" s="37"/>
      <c r="N831" s="37"/>
      <c r="O831" s="37"/>
      <c r="P831" s="37"/>
      <c r="Q831" s="37"/>
      <c r="R831" s="37"/>
      <c r="S831" s="37"/>
      <c r="T831" s="38"/>
      <c r="U831" s="40"/>
      <c r="V831" s="40"/>
      <c r="W831" s="40"/>
      <c r="X831" s="41"/>
      <c r="Y831" s="37"/>
      <c r="Z831" s="37"/>
      <c r="AA831" s="37"/>
      <c r="AB831" s="37"/>
      <c r="AC831" s="37"/>
      <c r="AD831" s="40"/>
      <c r="AE831" s="40"/>
      <c r="AF831" s="40"/>
      <c r="AG831" s="42"/>
      <c r="AH831" s="36"/>
      <c r="AI831" s="36"/>
    </row>
    <row r="832" spans="1:35" x14ac:dyDescent="0.3">
      <c r="A832" s="32" t="str">
        <f t="shared" si="78"/>
        <v/>
      </c>
      <c r="B832" s="33" t="str">
        <f t="shared" si="79"/>
        <v/>
      </c>
      <c r="C832" s="33" t="str">
        <f t="shared" si="80"/>
        <v/>
      </c>
      <c r="D832" s="34"/>
      <c r="E832" s="33" t="str">
        <f t="shared" si="81"/>
        <v/>
      </c>
      <c r="F832" s="33" t="str">
        <f t="shared" si="82"/>
        <v/>
      </c>
      <c r="G832" s="35"/>
      <c r="H832" s="35"/>
      <c r="I832" s="33"/>
      <c r="J832" s="33" t="str">
        <f t="shared" si="83"/>
        <v/>
      </c>
      <c r="K832" s="36"/>
      <c r="L832" s="37"/>
      <c r="M832" s="37"/>
      <c r="N832" s="37"/>
      <c r="O832" s="37"/>
      <c r="P832" s="37"/>
      <c r="Q832" s="37"/>
      <c r="R832" s="37"/>
      <c r="S832" s="37"/>
      <c r="T832" s="38"/>
      <c r="U832" s="40"/>
      <c r="V832" s="40"/>
      <c r="W832" s="40"/>
      <c r="X832" s="41"/>
      <c r="Y832" s="37"/>
      <c r="Z832" s="37"/>
      <c r="AA832" s="37"/>
      <c r="AB832" s="37"/>
      <c r="AC832" s="37"/>
      <c r="AD832" s="40"/>
      <c r="AE832" s="40"/>
      <c r="AF832" s="40"/>
      <c r="AG832" s="42"/>
      <c r="AH832" s="36"/>
      <c r="AI832" s="36"/>
    </row>
    <row r="833" spans="1:35" x14ac:dyDescent="0.3">
      <c r="A833" s="32" t="str">
        <f t="shared" si="78"/>
        <v/>
      </c>
      <c r="B833" s="33" t="str">
        <f t="shared" si="79"/>
        <v/>
      </c>
      <c r="C833" s="33" t="str">
        <f t="shared" si="80"/>
        <v/>
      </c>
      <c r="D833" s="34"/>
      <c r="E833" s="33" t="str">
        <f t="shared" si="81"/>
        <v/>
      </c>
      <c r="F833" s="33" t="str">
        <f t="shared" si="82"/>
        <v/>
      </c>
      <c r="G833" s="35"/>
      <c r="H833" s="35"/>
      <c r="I833" s="33"/>
      <c r="J833" s="33" t="str">
        <f t="shared" si="83"/>
        <v/>
      </c>
      <c r="K833" s="36"/>
      <c r="L833" s="37"/>
      <c r="M833" s="37"/>
      <c r="N833" s="37"/>
      <c r="O833" s="37"/>
      <c r="P833" s="37"/>
      <c r="Q833" s="37"/>
      <c r="R833" s="37"/>
      <c r="S833" s="37"/>
      <c r="T833" s="38"/>
      <c r="U833" s="40"/>
      <c r="V833" s="40"/>
      <c r="W833" s="40"/>
      <c r="X833" s="41"/>
      <c r="Y833" s="37"/>
      <c r="Z833" s="37"/>
      <c r="AA833" s="37"/>
      <c r="AB833" s="37"/>
      <c r="AC833" s="37"/>
      <c r="AD833" s="40"/>
      <c r="AE833" s="40"/>
      <c r="AF833" s="40"/>
      <c r="AG833" s="42"/>
      <c r="AH833" s="36"/>
      <c r="AI833" s="36"/>
    </row>
    <row r="834" spans="1:35" x14ac:dyDescent="0.3">
      <c r="A834" s="32" t="str">
        <f t="shared" si="78"/>
        <v/>
      </c>
      <c r="B834" s="33" t="str">
        <f t="shared" si="79"/>
        <v/>
      </c>
      <c r="C834" s="33" t="str">
        <f t="shared" si="80"/>
        <v/>
      </c>
      <c r="D834" s="34"/>
      <c r="E834" s="33" t="str">
        <f t="shared" si="81"/>
        <v/>
      </c>
      <c r="F834" s="33" t="str">
        <f t="shared" si="82"/>
        <v/>
      </c>
      <c r="G834" s="35"/>
      <c r="H834" s="35"/>
      <c r="I834" s="33"/>
      <c r="J834" s="33" t="str">
        <f t="shared" si="83"/>
        <v/>
      </c>
      <c r="K834" s="36"/>
      <c r="L834" s="37"/>
      <c r="M834" s="37"/>
      <c r="N834" s="37"/>
      <c r="O834" s="37"/>
      <c r="P834" s="37"/>
      <c r="Q834" s="37"/>
      <c r="R834" s="37"/>
      <c r="S834" s="37"/>
      <c r="T834" s="38"/>
      <c r="U834" s="40"/>
      <c r="V834" s="40"/>
      <c r="W834" s="40"/>
      <c r="X834" s="41"/>
      <c r="Y834" s="37"/>
      <c r="Z834" s="37"/>
      <c r="AA834" s="37"/>
      <c r="AB834" s="37"/>
      <c r="AC834" s="37"/>
      <c r="AD834" s="40"/>
      <c r="AE834" s="40"/>
      <c r="AF834" s="40"/>
      <c r="AG834" s="42"/>
      <c r="AH834" s="36"/>
      <c r="AI834" s="36"/>
    </row>
    <row r="835" spans="1:35" x14ac:dyDescent="0.3">
      <c r="A835" s="32" t="str">
        <f t="shared" si="78"/>
        <v/>
      </c>
      <c r="B835" s="33" t="str">
        <f t="shared" si="79"/>
        <v/>
      </c>
      <c r="C835" s="33" t="str">
        <f t="shared" si="80"/>
        <v/>
      </c>
      <c r="D835" s="34"/>
      <c r="E835" s="33" t="str">
        <f t="shared" si="81"/>
        <v/>
      </c>
      <c r="F835" s="33" t="str">
        <f t="shared" si="82"/>
        <v/>
      </c>
      <c r="G835" s="35"/>
      <c r="H835" s="35"/>
      <c r="I835" s="33"/>
      <c r="J835" s="33" t="str">
        <f t="shared" si="83"/>
        <v/>
      </c>
      <c r="K835" s="36"/>
      <c r="L835" s="37"/>
      <c r="M835" s="37"/>
      <c r="N835" s="37"/>
      <c r="O835" s="37"/>
      <c r="P835" s="37"/>
      <c r="Q835" s="37"/>
      <c r="R835" s="37"/>
      <c r="S835" s="37"/>
      <c r="T835" s="38"/>
      <c r="U835" s="40"/>
      <c r="V835" s="40"/>
      <c r="W835" s="40"/>
      <c r="X835" s="41"/>
      <c r="Y835" s="37"/>
      <c r="Z835" s="37"/>
      <c r="AA835" s="37"/>
      <c r="AB835" s="37"/>
      <c r="AC835" s="37"/>
      <c r="AD835" s="40"/>
      <c r="AE835" s="40"/>
      <c r="AF835" s="40"/>
      <c r="AG835" s="42"/>
      <c r="AH835" s="36"/>
      <c r="AI835" s="36"/>
    </row>
    <row r="836" spans="1:35" x14ac:dyDescent="0.3">
      <c r="A836" s="32" t="str">
        <f t="shared" si="78"/>
        <v/>
      </c>
      <c r="B836" s="33" t="str">
        <f t="shared" si="79"/>
        <v/>
      </c>
      <c r="C836" s="33" t="str">
        <f t="shared" si="80"/>
        <v/>
      </c>
      <c r="D836" s="34"/>
      <c r="E836" s="33" t="str">
        <f t="shared" si="81"/>
        <v/>
      </c>
      <c r="F836" s="33" t="str">
        <f t="shared" si="82"/>
        <v/>
      </c>
      <c r="G836" s="35"/>
      <c r="H836" s="35"/>
      <c r="I836" s="33"/>
      <c r="J836" s="33" t="str">
        <f t="shared" si="83"/>
        <v/>
      </c>
      <c r="K836" s="36"/>
      <c r="L836" s="37"/>
      <c r="M836" s="37"/>
      <c r="N836" s="37"/>
      <c r="O836" s="37"/>
      <c r="P836" s="37"/>
      <c r="Q836" s="37"/>
      <c r="R836" s="37"/>
      <c r="S836" s="37"/>
      <c r="T836" s="38"/>
      <c r="U836" s="40"/>
      <c r="V836" s="40"/>
      <c r="W836" s="40"/>
      <c r="X836" s="41"/>
      <c r="Y836" s="37"/>
      <c r="Z836" s="37"/>
      <c r="AA836" s="37"/>
      <c r="AB836" s="37"/>
      <c r="AC836" s="37"/>
      <c r="AD836" s="40"/>
      <c r="AE836" s="40"/>
      <c r="AF836" s="40"/>
      <c r="AG836" s="42"/>
      <c r="AH836" s="36"/>
      <c r="AI836" s="36"/>
    </row>
    <row r="837" spans="1:35" x14ac:dyDescent="0.3">
      <c r="A837" s="32" t="str">
        <f t="shared" si="78"/>
        <v/>
      </c>
      <c r="B837" s="33" t="str">
        <f t="shared" si="79"/>
        <v/>
      </c>
      <c r="C837" s="33" t="str">
        <f t="shared" si="80"/>
        <v/>
      </c>
      <c r="D837" s="34"/>
      <c r="E837" s="33" t="str">
        <f t="shared" si="81"/>
        <v/>
      </c>
      <c r="F837" s="33" t="str">
        <f t="shared" si="82"/>
        <v/>
      </c>
      <c r="G837" s="35"/>
      <c r="H837" s="35"/>
      <c r="I837" s="33"/>
      <c r="J837" s="33" t="str">
        <f t="shared" si="83"/>
        <v/>
      </c>
      <c r="K837" s="36"/>
      <c r="L837" s="37"/>
      <c r="M837" s="37"/>
      <c r="N837" s="37"/>
      <c r="O837" s="37"/>
      <c r="P837" s="37"/>
      <c r="Q837" s="37"/>
      <c r="R837" s="37"/>
      <c r="S837" s="37"/>
      <c r="T837" s="38"/>
      <c r="U837" s="40"/>
      <c r="V837" s="40"/>
      <c r="W837" s="40"/>
      <c r="X837" s="41"/>
      <c r="Y837" s="37"/>
      <c r="Z837" s="37"/>
      <c r="AA837" s="37"/>
      <c r="AB837" s="37"/>
      <c r="AC837" s="37"/>
      <c r="AD837" s="40"/>
      <c r="AE837" s="40"/>
      <c r="AF837" s="40"/>
      <c r="AG837" s="42"/>
      <c r="AH837" s="36"/>
      <c r="AI837" s="36"/>
    </row>
    <row r="838" spans="1:35" x14ac:dyDescent="0.3">
      <c r="A838" s="32" t="str">
        <f t="shared" si="78"/>
        <v/>
      </c>
      <c r="B838" s="33" t="str">
        <f t="shared" si="79"/>
        <v/>
      </c>
      <c r="C838" s="33" t="str">
        <f t="shared" si="80"/>
        <v/>
      </c>
      <c r="D838" s="34"/>
      <c r="E838" s="33" t="str">
        <f t="shared" si="81"/>
        <v/>
      </c>
      <c r="F838" s="33" t="str">
        <f t="shared" si="82"/>
        <v/>
      </c>
      <c r="G838" s="35"/>
      <c r="H838" s="35"/>
      <c r="I838" s="33"/>
      <c r="J838" s="33" t="str">
        <f t="shared" si="83"/>
        <v/>
      </c>
      <c r="K838" s="36"/>
      <c r="L838" s="37"/>
      <c r="M838" s="37"/>
      <c r="N838" s="37"/>
      <c r="O838" s="37"/>
      <c r="P838" s="37"/>
      <c r="Q838" s="37"/>
      <c r="R838" s="37"/>
      <c r="S838" s="37"/>
      <c r="T838" s="38"/>
      <c r="U838" s="40"/>
      <c r="V838" s="40"/>
      <c r="W838" s="40"/>
      <c r="X838" s="41"/>
      <c r="Y838" s="37"/>
      <c r="Z838" s="37"/>
      <c r="AA838" s="37"/>
      <c r="AB838" s="37"/>
      <c r="AC838" s="37"/>
      <c r="AD838" s="40"/>
      <c r="AE838" s="40"/>
      <c r="AF838" s="40"/>
      <c r="AG838" s="42"/>
      <c r="AH838" s="36"/>
      <c r="AI838" s="36"/>
    </row>
    <row r="839" spans="1:35" x14ac:dyDescent="0.3">
      <c r="A839" s="32" t="str">
        <f t="shared" si="78"/>
        <v/>
      </c>
      <c r="B839" s="33" t="str">
        <f t="shared" si="79"/>
        <v/>
      </c>
      <c r="C839" s="33" t="str">
        <f t="shared" si="80"/>
        <v/>
      </c>
      <c r="D839" s="34"/>
      <c r="E839" s="33" t="str">
        <f t="shared" si="81"/>
        <v/>
      </c>
      <c r="F839" s="33" t="str">
        <f t="shared" si="82"/>
        <v/>
      </c>
      <c r="G839" s="35"/>
      <c r="H839" s="35"/>
      <c r="I839" s="33"/>
      <c r="J839" s="33" t="str">
        <f t="shared" si="83"/>
        <v/>
      </c>
      <c r="K839" s="36"/>
      <c r="L839" s="37"/>
      <c r="M839" s="37"/>
      <c r="N839" s="37"/>
      <c r="O839" s="37"/>
      <c r="P839" s="37"/>
      <c r="Q839" s="37"/>
      <c r="R839" s="37"/>
      <c r="S839" s="37"/>
      <c r="T839" s="38"/>
      <c r="U839" s="40"/>
      <c r="V839" s="40"/>
      <c r="W839" s="40"/>
      <c r="X839" s="41"/>
      <c r="Y839" s="37"/>
      <c r="Z839" s="37"/>
      <c r="AA839" s="37"/>
      <c r="AB839" s="37"/>
      <c r="AC839" s="37"/>
      <c r="AD839" s="40"/>
      <c r="AE839" s="40"/>
      <c r="AF839" s="40"/>
      <c r="AG839" s="42"/>
      <c r="AH839" s="36"/>
      <c r="AI839" s="36"/>
    </row>
    <row r="840" spans="1:35" x14ac:dyDescent="0.3">
      <c r="A840" s="32" t="str">
        <f t="shared" si="78"/>
        <v/>
      </c>
      <c r="B840" s="33" t="str">
        <f t="shared" si="79"/>
        <v/>
      </c>
      <c r="C840" s="33" t="str">
        <f t="shared" si="80"/>
        <v/>
      </c>
      <c r="D840" s="34"/>
      <c r="E840" s="33" t="str">
        <f t="shared" si="81"/>
        <v/>
      </c>
      <c r="F840" s="33" t="str">
        <f t="shared" si="82"/>
        <v/>
      </c>
      <c r="G840" s="35"/>
      <c r="H840" s="35"/>
      <c r="I840" s="33"/>
      <c r="J840" s="33" t="str">
        <f t="shared" si="83"/>
        <v/>
      </c>
      <c r="K840" s="36"/>
      <c r="L840" s="37"/>
      <c r="M840" s="37"/>
      <c r="N840" s="37"/>
      <c r="O840" s="37"/>
      <c r="P840" s="37"/>
      <c r="Q840" s="37"/>
      <c r="R840" s="37"/>
      <c r="S840" s="37"/>
      <c r="T840" s="38"/>
      <c r="U840" s="40"/>
      <c r="V840" s="40"/>
      <c r="W840" s="40"/>
      <c r="X840" s="41"/>
      <c r="Y840" s="37"/>
      <c r="Z840" s="37"/>
      <c r="AA840" s="37"/>
      <c r="AB840" s="37"/>
      <c r="AC840" s="37"/>
      <c r="AD840" s="40"/>
      <c r="AE840" s="40"/>
      <c r="AF840" s="40"/>
      <c r="AG840" s="42"/>
      <c r="AH840" s="36"/>
      <c r="AI840" s="36"/>
    </row>
    <row r="841" spans="1:35" x14ac:dyDescent="0.3">
      <c r="A841" s="32" t="str">
        <f t="shared" si="78"/>
        <v/>
      </c>
      <c r="B841" s="33" t="str">
        <f t="shared" si="79"/>
        <v/>
      </c>
      <c r="C841" s="33" t="str">
        <f t="shared" si="80"/>
        <v/>
      </c>
      <c r="D841" s="34"/>
      <c r="E841" s="33" t="str">
        <f t="shared" si="81"/>
        <v/>
      </c>
      <c r="F841" s="33" t="str">
        <f t="shared" si="82"/>
        <v/>
      </c>
      <c r="G841" s="35"/>
      <c r="H841" s="35"/>
      <c r="I841" s="33"/>
      <c r="J841" s="33" t="str">
        <f t="shared" si="83"/>
        <v/>
      </c>
      <c r="K841" s="36"/>
      <c r="L841" s="37"/>
      <c r="M841" s="37"/>
      <c r="N841" s="37"/>
      <c r="O841" s="37"/>
      <c r="P841" s="37"/>
      <c r="Q841" s="37"/>
      <c r="R841" s="37"/>
      <c r="S841" s="37"/>
      <c r="T841" s="38"/>
      <c r="U841" s="40"/>
      <c r="V841" s="40"/>
      <c r="W841" s="40"/>
      <c r="X841" s="41"/>
      <c r="Y841" s="37"/>
      <c r="Z841" s="37"/>
      <c r="AA841" s="37"/>
      <c r="AB841" s="37"/>
      <c r="AC841" s="37"/>
      <c r="AD841" s="40"/>
      <c r="AE841" s="40"/>
      <c r="AF841" s="40"/>
      <c r="AG841" s="42"/>
      <c r="AH841" s="36"/>
      <c r="AI841" s="36"/>
    </row>
    <row r="842" spans="1:35" x14ac:dyDescent="0.3">
      <c r="A842" s="32" t="str">
        <f t="shared" si="78"/>
        <v/>
      </c>
      <c r="B842" s="33" t="str">
        <f t="shared" si="79"/>
        <v/>
      </c>
      <c r="C842" s="33" t="str">
        <f t="shared" si="80"/>
        <v/>
      </c>
      <c r="D842" s="34"/>
      <c r="E842" s="33" t="str">
        <f t="shared" si="81"/>
        <v/>
      </c>
      <c r="F842" s="33" t="str">
        <f t="shared" si="82"/>
        <v/>
      </c>
      <c r="G842" s="35"/>
      <c r="H842" s="35"/>
      <c r="I842" s="33"/>
      <c r="J842" s="33" t="str">
        <f t="shared" si="83"/>
        <v/>
      </c>
      <c r="K842" s="36"/>
      <c r="L842" s="37"/>
      <c r="M842" s="37"/>
      <c r="N842" s="37"/>
      <c r="O842" s="37"/>
      <c r="P842" s="37"/>
      <c r="Q842" s="37"/>
      <c r="R842" s="37"/>
      <c r="S842" s="37"/>
      <c r="T842" s="38"/>
      <c r="U842" s="40"/>
      <c r="V842" s="40"/>
      <c r="W842" s="40"/>
      <c r="X842" s="41"/>
      <c r="Y842" s="37"/>
      <c r="Z842" s="37"/>
      <c r="AA842" s="37"/>
      <c r="AB842" s="37"/>
      <c r="AC842" s="37"/>
      <c r="AD842" s="40"/>
      <c r="AE842" s="40"/>
      <c r="AF842" s="40"/>
      <c r="AG842" s="42"/>
      <c r="AH842" s="36"/>
      <c r="AI842" s="36"/>
    </row>
    <row r="843" spans="1:35" x14ac:dyDescent="0.3">
      <c r="A843" s="32" t="str">
        <f t="shared" si="78"/>
        <v/>
      </c>
      <c r="B843" s="33" t="str">
        <f t="shared" si="79"/>
        <v/>
      </c>
      <c r="C843" s="33" t="str">
        <f t="shared" si="80"/>
        <v/>
      </c>
      <c r="D843" s="34"/>
      <c r="E843" s="33" t="str">
        <f t="shared" si="81"/>
        <v/>
      </c>
      <c r="F843" s="33" t="str">
        <f t="shared" si="82"/>
        <v/>
      </c>
      <c r="G843" s="35"/>
      <c r="H843" s="35"/>
      <c r="I843" s="33"/>
      <c r="J843" s="33" t="str">
        <f t="shared" si="83"/>
        <v/>
      </c>
      <c r="K843" s="36"/>
      <c r="L843" s="37"/>
      <c r="M843" s="37"/>
      <c r="N843" s="37"/>
      <c r="O843" s="37"/>
      <c r="P843" s="37"/>
      <c r="Q843" s="37"/>
      <c r="R843" s="37"/>
      <c r="S843" s="37"/>
      <c r="T843" s="38"/>
      <c r="U843" s="40"/>
      <c r="V843" s="40"/>
      <c r="W843" s="40"/>
      <c r="X843" s="41"/>
      <c r="Y843" s="37"/>
      <c r="Z843" s="37"/>
      <c r="AA843" s="37"/>
      <c r="AB843" s="37"/>
      <c r="AC843" s="37"/>
      <c r="AD843" s="40"/>
      <c r="AE843" s="40"/>
      <c r="AF843" s="40"/>
      <c r="AG843" s="42"/>
      <c r="AH843" s="36"/>
      <c r="AI843" s="36"/>
    </row>
    <row r="844" spans="1:35" x14ac:dyDescent="0.3">
      <c r="A844" s="32" t="str">
        <f t="shared" si="78"/>
        <v/>
      </c>
      <c r="B844" s="33" t="str">
        <f t="shared" si="79"/>
        <v/>
      </c>
      <c r="C844" s="33" t="str">
        <f t="shared" si="80"/>
        <v/>
      </c>
      <c r="D844" s="34"/>
      <c r="E844" s="33" t="str">
        <f t="shared" si="81"/>
        <v/>
      </c>
      <c r="F844" s="33" t="str">
        <f t="shared" si="82"/>
        <v/>
      </c>
      <c r="G844" s="35"/>
      <c r="H844" s="35"/>
      <c r="I844" s="33"/>
      <c r="J844" s="33" t="str">
        <f t="shared" si="83"/>
        <v/>
      </c>
      <c r="K844" s="36"/>
      <c r="L844" s="37"/>
      <c r="M844" s="37"/>
      <c r="N844" s="37"/>
      <c r="O844" s="37"/>
      <c r="P844" s="37"/>
      <c r="Q844" s="37"/>
      <c r="R844" s="37"/>
      <c r="S844" s="37"/>
      <c r="T844" s="38"/>
      <c r="U844" s="40"/>
      <c r="V844" s="40"/>
      <c r="W844" s="40"/>
      <c r="X844" s="41"/>
      <c r="Y844" s="37"/>
      <c r="Z844" s="37"/>
      <c r="AA844" s="37"/>
      <c r="AB844" s="37"/>
      <c r="AC844" s="37"/>
      <c r="AD844" s="40"/>
      <c r="AE844" s="40"/>
      <c r="AF844" s="40"/>
      <c r="AG844" s="42"/>
      <c r="AH844" s="36"/>
      <c r="AI844" s="36"/>
    </row>
    <row r="845" spans="1:35" x14ac:dyDescent="0.3">
      <c r="A845" s="32" t="str">
        <f t="shared" si="78"/>
        <v/>
      </c>
      <c r="B845" s="33" t="str">
        <f t="shared" si="79"/>
        <v/>
      </c>
      <c r="C845" s="33" t="str">
        <f t="shared" si="80"/>
        <v/>
      </c>
      <c r="D845" s="34"/>
      <c r="E845" s="33" t="str">
        <f t="shared" si="81"/>
        <v/>
      </c>
      <c r="F845" s="33" t="str">
        <f t="shared" si="82"/>
        <v/>
      </c>
      <c r="G845" s="35"/>
      <c r="H845" s="35"/>
      <c r="I845" s="33"/>
      <c r="J845" s="33" t="str">
        <f t="shared" si="83"/>
        <v/>
      </c>
      <c r="K845" s="36"/>
      <c r="L845" s="37"/>
      <c r="M845" s="37"/>
      <c r="N845" s="37"/>
      <c r="O845" s="37"/>
      <c r="P845" s="37"/>
      <c r="Q845" s="37"/>
      <c r="R845" s="37"/>
      <c r="S845" s="37"/>
      <c r="T845" s="38"/>
      <c r="U845" s="40"/>
      <c r="V845" s="40"/>
      <c r="W845" s="40"/>
      <c r="X845" s="41"/>
      <c r="Y845" s="37"/>
      <c r="Z845" s="37"/>
      <c r="AA845" s="37"/>
      <c r="AB845" s="37"/>
      <c r="AC845" s="37"/>
      <c r="AD845" s="40"/>
      <c r="AE845" s="40"/>
      <c r="AF845" s="40"/>
      <c r="AG845" s="42"/>
      <c r="AH845" s="36"/>
      <c r="AI845" s="36"/>
    </row>
    <row r="846" spans="1:35" x14ac:dyDescent="0.3">
      <c r="A846" s="32" t="str">
        <f t="shared" si="78"/>
        <v/>
      </c>
      <c r="B846" s="33" t="str">
        <f t="shared" si="79"/>
        <v/>
      </c>
      <c r="C846" s="33" t="str">
        <f t="shared" si="80"/>
        <v/>
      </c>
      <c r="D846" s="34"/>
      <c r="E846" s="33" t="str">
        <f t="shared" si="81"/>
        <v/>
      </c>
      <c r="F846" s="33" t="str">
        <f t="shared" si="82"/>
        <v/>
      </c>
      <c r="G846" s="35"/>
      <c r="H846" s="35"/>
      <c r="I846" s="33"/>
      <c r="J846" s="33" t="str">
        <f t="shared" si="83"/>
        <v/>
      </c>
      <c r="K846" s="36"/>
      <c r="L846" s="37"/>
      <c r="M846" s="37"/>
      <c r="N846" s="37"/>
      <c r="O846" s="37"/>
      <c r="P846" s="37"/>
      <c r="Q846" s="37"/>
      <c r="R846" s="37"/>
      <c r="S846" s="37"/>
      <c r="T846" s="38"/>
      <c r="U846" s="40"/>
      <c r="V846" s="40"/>
      <c r="W846" s="40"/>
      <c r="X846" s="41"/>
      <c r="Y846" s="37"/>
      <c r="Z846" s="37"/>
      <c r="AA846" s="37"/>
      <c r="AB846" s="37"/>
      <c r="AC846" s="37"/>
      <c r="AD846" s="40"/>
      <c r="AE846" s="40"/>
      <c r="AF846" s="40"/>
      <c r="AG846" s="42"/>
      <c r="AH846" s="36"/>
      <c r="AI846" s="36"/>
    </row>
    <row r="847" spans="1:35" x14ac:dyDescent="0.3">
      <c r="A847" s="32" t="str">
        <f t="shared" si="78"/>
        <v/>
      </c>
      <c r="B847" s="33" t="str">
        <f t="shared" si="79"/>
        <v/>
      </c>
      <c r="C847" s="33" t="str">
        <f t="shared" si="80"/>
        <v/>
      </c>
      <c r="D847" s="34"/>
      <c r="E847" s="33" t="str">
        <f t="shared" si="81"/>
        <v/>
      </c>
      <c r="F847" s="33" t="str">
        <f t="shared" si="82"/>
        <v/>
      </c>
      <c r="G847" s="35"/>
      <c r="H847" s="35"/>
      <c r="I847" s="33"/>
      <c r="J847" s="33" t="str">
        <f t="shared" si="83"/>
        <v/>
      </c>
      <c r="K847" s="36"/>
      <c r="L847" s="37"/>
      <c r="M847" s="37"/>
      <c r="N847" s="37"/>
      <c r="O847" s="37"/>
      <c r="P847" s="37"/>
      <c r="Q847" s="37"/>
      <c r="R847" s="37"/>
      <c r="S847" s="37"/>
      <c r="T847" s="38"/>
      <c r="U847" s="40"/>
      <c r="V847" s="40"/>
      <c r="W847" s="40"/>
      <c r="X847" s="41"/>
      <c r="Y847" s="37"/>
      <c r="Z847" s="37"/>
      <c r="AA847" s="37"/>
      <c r="AB847" s="37"/>
      <c r="AC847" s="37"/>
      <c r="AD847" s="40"/>
      <c r="AE847" s="40"/>
      <c r="AF847" s="40"/>
      <c r="AG847" s="42"/>
      <c r="AH847" s="36"/>
      <c r="AI847" s="36"/>
    </row>
    <row r="848" spans="1:35" x14ac:dyDescent="0.3">
      <c r="A848" s="32" t="str">
        <f t="shared" si="78"/>
        <v/>
      </c>
      <c r="B848" s="33" t="str">
        <f t="shared" si="79"/>
        <v/>
      </c>
      <c r="C848" s="33" t="str">
        <f t="shared" si="80"/>
        <v/>
      </c>
      <c r="D848" s="34"/>
      <c r="E848" s="33" t="str">
        <f t="shared" si="81"/>
        <v/>
      </c>
      <c r="F848" s="33" t="str">
        <f t="shared" si="82"/>
        <v/>
      </c>
      <c r="G848" s="35"/>
      <c r="H848" s="35"/>
      <c r="I848" s="33"/>
      <c r="J848" s="33" t="str">
        <f t="shared" si="83"/>
        <v/>
      </c>
      <c r="K848" s="36"/>
      <c r="L848" s="37"/>
      <c r="M848" s="37"/>
      <c r="N848" s="37"/>
      <c r="O848" s="37"/>
      <c r="P848" s="37"/>
      <c r="Q848" s="37"/>
      <c r="R848" s="37"/>
      <c r="S848" s="37"/>
      <c r="T848" s="38"/>
      <c r="U848" s="40"/>
      <c r="V848" s="40"/>
      <c r="W848" s="40"/>
      <c r="X848" s="41"/>
      <c r="Y848" s="37"/>
      <c r="Z848" s="37"/>
      <c r="AA848" s="37"/>
      <c r="AB848" s="37"/>
      <c r="AC848" s="37"/>
      <c r="AD848" s="40"/>
      <c r="AE848" s="40"/>
      <c r="AF848" s="40"/>
      <c r="AG848" s="42"/>
      <c r="AH848" s="36"/>
      <c r="AI848" s="36"/>
    </row>
    <row r="849" spans="1:35" x14ac:dyDescent="0.3">
      <c r="A849" s="32" t="str">
        <f t="shared" ref="A849:A912" si="84">IF($K849="", "", ROW()-15)</f>
        <v/>
      </c>
      <c r="B849" s="33" t="str">
        <f t="shared" ref="B849:B912" si="85">IFERROR(IF(ISNUMBER(SEARCH("Q", $K849)), "Q", MID(RIGHT($J849, 4), 1, 1)), "")</f>
        <v/>
      </c>
      <c r="C849" s="33" t="str">
        <f t="shared" ref="C849:C912" si="86">IFERROR(IF(ISNUMBER(SEARCH("Q", $K849)), LEFT($K849, LEN($K849)-15), LEFT($K849, LEN($K849)-8)), "")</f>
        <v/>
      </c>
      <c r="D849" s="34"/>
      <c r="E849" s="33" t="str">
        <f t="shared" ref="E849:E912" si="87">IFERROR(IF($F849="", "", IF($F849="01", "최초", "추가")), " ")</f>
        <v/>
      </c>
      <c r="F849" s="33" t="str">
        <f t="shared" ref="F849:F912" si="88">IFERROR(IF(ISNUMBER(SEARCH("Q", $K849)), MID(RIGHT($K849, 9), 1, 2), RIGHT($K849, 2)), "")</f>
        <v/>
      </c>
      <c r="G849" s="35"/>
      <c r="H849" s="35"/>
      <c r="I849" s="33"/>
      <c r="J849" s="33" t="str">
        <f t="shared" ref="J849:J912" si="89">IFERROR(IF(ISNUMBER(SEARCH("Q", $K849)), LEFT($K849, LEN($K849)-10), LEFT($K849, LEN($K849)-3)), "")</f>
        <v/>
      </c>
      <c r="K849" s="36"/>
      <c r="L849" s="37"/>
      <c r="M849" s="37"/>
      <c r="N849" s="37"/>
      <c r="O849" s="37"/>
      <c r="P849" s="37"/>
      <c r="Q849" s="37"/>
      <c r="R849" s="37"/>
      <c r="S849" s="37"/>
      <c r="T849" s="38"/>
      <c r="U849" s="40"/>
      <c r="V849" s="40"/>
      <c r="W849" s="40"/>
      <c r="X849" s="41"/>
      <c r="Y849" s="37"/>
      <c r="Z849" s="37"/>
      <c r="AA849" s="37"/>
      <c r="AB849" s="37"/>
      <c r="AC849" s="37"/>
      <c r="AD849" s="40"/>
      <c r="AE849" s="40"/>
      <c r="AF849" s="40"/>
      <c r="AG849" s="42"/>
      <c r="AH849" s="36"/>
      <c r="AI849" s="36"/>
    </row>
    <row r="850" spans="1:35" x14ac:dyDescent="0.3">
      <c r="A850" s="32" t="str">
        <f t="shared" si="84"/>
        <v/>
      </c>
      <c r="B850" s="33" t="str">
        <f t="shared" si="85"/>
        <v/>
      </c>
      <c r="C850" s="33" t="str">
        <f t="shared" si="86"/>
        <v/>
      </c>
      <c r="D850" s="34"/>
      <c r="E850" s="33" t="str">
        <f t="shared" si="87"/>
        <v/>
      </c>
      <c r="F850" s="33" t="str">
        <f t="shared" si="88"/>
        <v/>
      </c>
      <c r="G850" s="35"/>
      <c r="H850" s="35"/>
      <c r="I850" s="33"/>
      <c r="J850" s="33" t="str">
        <f t="shared" si="89"/>
        <v/>
      </c>
      <c r="K850" s="36"/>
      <c r="L850" s="37"/>
      <c r="M850" s="37"/>
      <c r="N850" s="37"/>
      <c r="O850" s="37"/>
      <c r="P850" s="37"/>
      <c r="Q850" s="37"/>
      <c r="R850" s="37"/>
      <c r="S850" s="37"/>
      <c r="T850" s="38"/>
      <c r="U850" s="40"/>
      <c r="V850" s="40"/>
      <c r="W850" s="40"/>
      <c r="X850" s="41"/>
      <c r="Y850" s="37"/>
      <c r="Z850" s="37"/>
      <c r="AA850" s="37"/>
      <c r="AB850" s="37"/>
      <c r="AC850" s="37"/>
      <c r="AD850" s="40"/>
      <c r="AE850" s="40"/>
      <c r="AF850" s="40"/>
      <c r="AG850" s="42"/>
      <c r="AH850" s="36"/>
      <c r="AI850" s="36"/>
    </row>
    <row r="851" spans="1:35" x14ac:dyDescent="0.3">
      <c r="A851" s="32" t="str">
        <f t="shared" si="84"/>
        <v/>
      </c>
      <c r="B851" s="33" t="str">
        <f t="shared" si="85"/>
        <v/>
      </c>
      <c r="C851" s="33" t="str">
        <f t="shared" si="86"/>
        <v/>
      </c>
      <c r="D851" s="34"/>
      <c r="E851" s="33" t="str">
        <f t="shared" si="87"/>
        <v/>
      </c>
      <c r="F851" s="33" t="str">
        <f t="shared" si="88"/>
        <v/>
      </c>
      <c r="G851" s="35"/>
      <c r="H851" s="35"/>
      <c r="I851" s="33"/>
      <c r="J851" s="33" t="str">
        <f t="shared" si="89"/>
        <v/>
      </c>
      <c r="K851" s="36"/>
      <c r="L851" s="37"/>
      <c r="M851" s="37"/>
      <c r="N851" s="37"/>
      <c r="O851" s="37"/>
      <c r="P851" s="37"/>
      <c r="Q851" s="37"/>
      <c r="R851" s="37"/>
      <c r="S851" s="37"/>
      <c r="T851" s="38"/>
      <c r="U851" s="40"/>
      <c r="V851" s="40"/>
      <c r="W851" s="40"/>
      <c r="X851" s="41"/>
      <c r="Y851" s="37"/>
      <c r="Z851" s="37"/>
      <c r="AA851" s="37"/>
      <c r="AB851" s="37"/>
      <c r="AC851" s="37"/>
      <c r="AD851" s="40"/>
      <c r="AE851" s="40"/>
      <c r="AF851" s="40"/>
      <c r="AG851" s="42"/>
      <c r="AH851" s="36"/>
      <c r="AI851" s="36"/>
    </row>
    <row r="852" spans="1:35" x14ac:dyDescent="0.3">
      <c r="A852" s="32" t="str">
        <f t="shared" si="84"/>
        <v/>
      </c>
      <c r="B852" s="33" t="str">
        <f t="shared" si="85"/>
        <v/>
      </c>
      <c r="C852" s="33" t="str">
        <f t="shared" si="86"/>
        <v/>
      </c>
      <c r="D852" s="34"/>
      <c r="E852" s="33" t="str">
        <f t="shared" si="87"/>
        <v/>
      </c>
      <c r="F852" s="33" t="str">
        <f t="shared" si="88"/>
        <v/>
      </c>
      <c r="G852" s="35"/>
      <c r="H852" s="35"/>
      <c r="I852" s="33"/>
      <c r="J852" s="33" t="str">
        <f t="shared" si="89"/>
        <v/>
      </c>
      <c r="K852" s="36"/>
      <c r="L852" s="37"/>
      <c r="M852" s="37"/>
      <c r="N852" s="37"/>
      <c r="O852" s="37"/>
      <c r="P852" s="37"/>
      <c r="Q852" s="37"/>
      <c r="R852" s="37"/>
      <c r="S852" s="37"/>
      <c r="T852" s="38"/>
      <c r="U852" s="40"/>
      <c r="V852" s="40"/>
      <c r="W852" s="40"/>
      <c r="X852" s="41"/>
      <c r="Y852" s="37"/>
      <c r="Z852" s="37"/>
      <c r="AA852" s="37"/>
      <c r="AB852" s="37"/>
      <c r="AC852" s="37"/>
      <c r="AD852" s="40"/>
      <c r="AE852" s="40"/>
      <c r="AF852" s="40"/>
      <c r="AG852" s="42"/>
      <c r="AH852" s="36"/>
      <c r="AI852" s="36"/>
    </row>
    <row r="853" spans="1:35" x14ac:dyDescent="0.3">
      <c r="A853" s="32" t="str">
        <f t="shared" si="84"/>
        <v/>
      </c>
      <c r="B853" s="33" t="str">
        <f t="shared" si="85"/>
        <v/>
      </c>
      <c r="C853" s="33" t="str">
        <f t="shared" si="86"/>
        <v/>
      </c>
      <c r="D853" s="34"/>
      <c r="E853" s="33" t="str">
        <f t="shared" si="87"/>
        <v/>
      </c>
      <c r="F853" s="33" t="str">
        <f t="shared" si="88"/>
        <v/>
      </c>
      <c r="G853" s="35"/>
      <c r="H853" s="35"/>
      <c r="I853" s="33"/>
      <c r="J853" s="33" t="str">
        <f t="shared" si="89"/>
        <v/>
      </c>
      <c r="K853" s="36"/>
      <c r="L853" s="37"/>
      <c r="M853" s="37"/>
      <c r="N853" s="37"/>
      <c r="O853" s="37"/>
      <c r="P853" s="37"/>
      <c r="Q853" s="37"/>
      <c r="R853" s="37"/>
      <c r="S853" s="37"/>
      <c r="T853" s="38"/>
      <c r="U853" s="40"/>
      <c r="V853" s="40"/>
      <c r="W853" s="40"/>
      <c r="X853" s="41"/>
      <c r="Y853" s="37"/>
      <c r="Z853" s="37"/>
      <c r="AA853" s="37"/>
      <c r="AB853" s="37"/>
      <c r="AC853" s="37"/>
      <c r="AD853" s="40"/>
      <c r="AE853" s="40"/>
      <c r="AF853" s="40"/>
      <c r="AG853" s="42"/>
      <c r="AH853" s="36"/>
      <c r="AI853" s="36"/>
    </row>
    <row r="854" spans="1:35" x14ac:dyDescent="0.3">
      <c r="A854" s="32" t="str">
        <f t="shared" si="84"/>
        <v/>
      </c>
      <c r="B854" s="33" t="str">
        <f t="shared" si="85"/>
        <v/>
      </c>
      <c r="C854" s="33" t="str">
        <f t="shared" si="86"/>
        <v/>
      </c>
      <c r="D854" s="34"/>
      <c r="E854" s="33" t="str">
        <f t="shared" si="87"/>
        <v/>
      </c>
      <c r="F854" s="33" t="str">
        <f t="shared" si="88"/>
        <v/>
      </c>
      <c r="G854" s="35"/>
      <c r="H854" s="35"/>
      <c r="I854" s="33"/>
      <c r="J854" s="33" t="str">
        <f t="shared" si="89"/>
        <v/>
      </c>
      <c r="K854" s="36"/>
      <c r="L854" s="37"/>
      <c r="M854" s="37"/>
      <c r="N854" s="37"/>
      <c r="O854" s="37"/>
      <c r="P854" s="37"/>
      <c r="Q854" s="37"/>
      <c r="R854" s="37"/>
      <c r="S854" s="37"/>
      <c r="T854" s="38"/>
      <c r="U854" s="40"/>
      <c r="V854" s="40"/>
      <c r="W854" s="40"/>
      <c r="X854" s="41"/>
      <c r="Y854" s="37"/>
      <c r="Z854" s="37"/>
      <c r="AA854" s="37"/>
      <c r="AB854" s="37"/>
      <c r="AC854" s="37"/>
      <c r="AD854" s="40"/>
      <c r="AE854" s="40"/>
      <c r="AF854" s="40"/>
      <c r="AG854" s="42"/>
      <c r="AH854" s="36"/>
      <c r="AI854" s="36"/>
    </row>
    <row r="855" spans="1:35" x14ac:dyDescent="0.3">
      <c r="A855" s="32" t="str">
        <f t="shared" si="84"/>
        <v/>
      </c>
      <c r="B855" s="33" t="str">
        <f t="shared" si="85"/>
        <v/>
      </c>
      <c r="C855" s="33" t="str">
        <f t="shared" si="86"/>
        <v/>
      </c>
      <c r="D855" s="34"/>
      <c r="E855" s="33" t="str">
        <f t="shared" si="87"/>
        <v/>
      </c>
      <c r="F855" s="33" t="str">
        <f t="shared" si="88"/>
        <v/>
      </c>
      <c r="G855" s="35"/>
      <c r="H855" s="35"/>
      <c r="I855" s="33"/>
      <c r="J855" s="33" t="str">
        <f t="shared" si="89"/>
        <v/>
      </c>
      <c r="K855" s="36"/>
      <c r="L855" s="37"/>
      <c r="M855" s="37"/>
      <c r="N855" s="37"/>
      <c r="O855" s="37"/>
      <c r="P855" s="37"/>
      <c r="Q855" s="37"/>
      <c r="R855" s="37"/>
      <c r="S855" s="37"/>
      <c r="T855" s="38"/>
      <c r="U855" s="40"/>
      <c r="V855" s="40"/>
      <c r="W855" s="40"/>
      <c r="X855" s="41"/>
      <c r="Y855" s="37"/>
      <c r="Z855" s="37"/>
      <c r="AA855" s="37"/>
      <c r="AB855" s="37"/>
      <c r="AC855" s="37"/>
      <c r="AD855" s="40"/>
      <c r="AE855" s="40"/>
      <c r="AF855" s="40"/>
      <c r="AG855" s="42"/>
      <c r="AH855" s="36"/>
      <c r="AI855" s="36"/>
    </row>
    <row r="856" spans="1:35" x14ac:dyDescent="0.3">
      <c r="A856" s="32" t="str">
        <f t="shared" si="84"/>
        <v/>
      </c>
      <c r="B856" s="33" t="str">
        <f t="shared" si="85"/>
        <v/>
      </c>
      <c r="C856" s="33" t="str">
        <f t="shared" si="86"/>
        <v/>
      </c>
      <c r="D856" s="34"/>
      <c r="E856" s="33" t="str">
        <f t="shared" si="87"/>
        <v/>
      </c>
      <c r="F856" s="33" t="str">
        <f t="shared" si="88"/>
        <v/>
      </c>
      <c r="G856" s="35"/>
      <c r="H856" s="35"/>
      <c r="I856" s="33"/>
      <c r="J856" s="33" t="str">
        <f t="shared" si="89"/>
        <v/>
      </c>
      <c r="K856" s="36"/>
      <c r="L856" s="37"/>
      <c r="M856" s="37"/>
      <c r="N856" s="37"/>
      <c r="O856" s="37"/>
      <c r="P856" s="37"/>
      <c r="Q856" s="37"/>
      <c r="R856" s="37"/>
      <c r="S856" s="37"/>
      <c r="T856" s="38"/>
      <c r="U856" s="40"/>
      <c r="V856" s="40"/>
      <c r="W856" s="40"/>
      <c r="X856" s="41"/>
      <c r="Y856" s="37"/>
      <c r="Z856" s="37"/>
      <c r="AA856" s="37"/>
      <c r="AB856" s="37"/>
      <c r="AC856" s="37"/>
      <c r="AD856" s="40"/>
      <c r="AE856" s="40"/>
      <c r="AF856" s="40"/>
      <c r="AG856" s="42"/>
      <c r="AH856" s="36"/>
      <c r="AI856" s="36"/>
    </row>
    <row r="857" spans="1:35" x14ac:dyDescent="0.3">
      <c r="A857" s="32" t="str">
        <f t="shared" si="84"/>
        <v/>
      </c>
      <c r="B857" s="33" t="str">
        <f t="shared" si="85"/>
        <v/>
      </c>
      <c r="C857" s="33" t="str">
        <f t="shared" si="86"/>
        <v/>
      </c>
      <c r="D857" s="34"/>
      <c r="E857" s="33" t="str">
        <f t="shared" si="87"/>
        <v/>
      </c>
      <c r="F857" s="33" t="str">
        <f t="shared" si="88"/>
        <v/>
      </c>
      <c r="G857" s="35"/>
      <c r="H857" s="35"/>
      <c r="I857" s="33"/>
      <c r="J857" s="33" t="str">
        <f t="shared" si="89"/>
        <v/>
      </c>
      <c r="K857" s="36"/>
      <c r="L857" s="37"/>
      <c r="M857" s="37"/>
      <c r="N857" s="37"/>
      <c r="O857" s="37"/>
      <c r="P857" s="37"/>
      <c r="Q857" s="37"/>
      <c r="R857" s="37"/>
      <c r="S857" s="37"/>
      <c r="T857" s="38"/>
      <c r="U857" s="40"/>
      <c r="V857" s="40"/>
      <c r="W857" s="40"/>
      <c r="X857" s="41"/>
      <c r="Y857" s="37"/>
      <c r="Z857" s="37"/>
      <c r="AA857" s="37"/>
      <c r="AB857" s="37"/>
      <c r="AC857" s="37"/>
      <c r="AD857" s="40"/>
      <c r="AE857" s="40"/>
      <c r="AF857" s="40"/>
      <c r="AG857" s="42"/>
      <c r="AH857" s="36"/>
      <c r="AI857" s="36"/>
    </row>
    <row r="858" spans="1:35" x14ac:dyDescent="0.3">
      <c r="A858" s="32" t="str">
        <f t="shared" si="84"/>
        <v/>
      </c>
      <c r="B858" s="33" t="str">
        <f t="shared" si="85"/>
        <v/>
      </c>
      <c r="C858" s="33" t="str">
        <f t="shared" si="86"/>
        <v/>
      </c>
      <c r="D858" s="34"/>
      <c r="E858" s="33" t="str">
        <f t="shared" si="87"/>
        <v/>
      </c>
      <c r="F858" s="33" t="str">
        <f t="shared" si="88"/>
        <v/>
      </c>
      <c r="G858" s="35"/>
      <c r="H858" s="35"/>
      <c r="I858" s="33"/>
      <c r="J858" s="33" t="str">
        <f t="shared" si="89"/>
        <v/>
      </c>
      <c r="K858" s="36"/>
      <c r="L858" s="37"/>
      <c r="M858" s="37"/>
      <c r="N858" s="37"/>
      <c r="O858" s="37"/>
      <c r="P858" s="37"/>
      <c r="Q858" s="37"/>
      <c r="R858" s="37"/>
      <c r="S858" s="37"/>
      <c r="T858" s="38"/>
      <c r="U858" s="40"/>
      <c r="V858" s="40"/>
      <c r="W858" s="40"/>
      <c r="X858" s="41"/>
      <c r="Y858" s="37"/>
      <c r="Z858" s="37"/>
      <c r="AA858" s="37"/>
      <c r="AB858" s="37"/>
      <c r="AC858" s="37"/>
      <c r="AD858" s="40"/>
      <c r="AE858" s="40"/>
      <c r="AF858" s="40"/>
      <c r="AG858" s="42"/>
      <c r="AH858" s="36"/>
      <c r="AI858" s="36"/>
    </row>
    <row r="859" spans="1:35" x14ac:dyDescent="0.3">
      <c r="A859" s="32" t="str">
        <f t="shared" si="84"/>
        <v/>
      </c>
      <c r="B859" s="33" t="str">
        <f t="shared" si="85"/>
        <v/>
      </c>
      <c r="C859" s="33" t="str">
        <f t="shared" si="86"/>
        <v/>
      </c>
      <c r="D859" s="34"/>
      <c r="E859" s="33" t="str">
        <f t="shared" si="87"/>
        <v/>
      </c>
      <c r="F859" s="33" t="str">
        <f t="shared" si="88"/>
        <v/>
      </c>
      <c r="G859" s="35"/>
      <c r="H859" s="35"/>
      <c r="I859" s="33"/>
      <c r="J859" s="33" t="str">
        <f t="shared" si="89"/>
        <v/>
      </c>
      <c r="K859" s="36"/>
      <c r="L859" s="37"/>
      <c r="M859" s="37"/>
      <c r="N859" s="37"/>
      <c r="O859" s="37"/>
      <c r="P859" s="37"/>
      <c r="Q859" s="37"/>
      <c r="R859" s="37"/>
      <c r="S859" s="37"/>
      <c r="T859" s="38"/>
      <c r="U859" s="40"/>
      <c r="V859" s="40"/>
      <c r="W859" s="40"/>
      <c r="X859" s="41"/>
      <c r="Y859" s="37"/>
      <c r="Z859" s="37"/>
      <c r="AA859" s="37"/>
      <c r="AB859" s="37"/>
      <c r="AC859" s="37"/>
      <c r="AD859" s="40"/>
      <c r="AE859" s="40"/>
      <c r="AF859" s="40"/>
      <c r="AG859" s="42"/>
      <c r="AH859" s="36"/>
      <c r="AI859" s="36"/>
    </row>
    <row r="860" spans="1:35" x14ac:dyDescent="0.3">
      <c r="A860" s="32" t="str">
        <f t="shared" si="84"/>
        <v/>
      </c>
      <c r="B860" s="33" t="str">
        <f t="shared" si="85"/>
        <v/>
      </c>
      <c r="C860" s="33" t="str">
        <f t="shared" si="86"/>
        <v/>
      </c>
      <c r="D860" s="34"/>
      <c r="E860" s="33" t="str">
        <f t="shared" si="87"/>
        <v/>
      </c>
      <c r="F860" s="33" t="str">
        <f t="shared" si="88"/>
        <v/>
      </c>
      <c r="G860" s="35"/>
      <c r="H860" s="35"/>
      <c r="I860" s="33"/>
      <c r="J860" s="33" t="str">
        <f t="shared" si="89"/>
        <v/>
      </c>
      <c r="K860" s="36"/>
      <c r="L860" s="37"/>
      <c r="M860" s="37"/>
      <c r="N860" s="37"/>
      <c r="O860" s="37"/>
      <c r="P860" s="37"/>
      <c r="Q860" s="37"/>
      <c r="R860" s="37"/>
      <c r="S860" s="37"/>
      <c r="T860" s="38"/>
      <c r="U860" s="40"/>
      <c r="V860" s="40"/>
      <c r="W860" s="40"/>
      <c r="X860" s="41"/>
      <c r="Y860" s="37"/>
      <c r="Z860" s="37"/>
      <c r="AA860" s="37"/>
      <c r="AB860" s="37"/>
      <c r="AC860" s="37"/>
      <c r="AD860" s="40"/>
      <c r="AE860" s="40"/>
      <c r="AF860" s="40"/>
      <c r="AG860" s="42"/>
      <c r="AH860" s="36"/>
      <c r="AI860" s="36"/>
    </row>
    <row r="861" spans="1:35" x14ac:dyDescent="0.3">
      <c r="A861" s="32" t="str">
        <f t="shared" si="84"/>
        <v/>
      </c>
      <c r="B861" s="33" t="str">
        <f t="shared" si="85"/>
        <v/>
      </c>
      <c r="C861" s="33" t="str">
        <f t="shared" si="86"/>
        <v/>
      </c>
      <c r="D861" s="34"/>
      <c r="E861" s="33" t="str">
        <f t="shared" si="87"/>
        <v/>
      </c>
      <c r="F861" s="33" t="str">
        <f t="shared" si="88"/>
        <v/>
      </c>
      <c r="G861" s="35"/>
      <c r="H861" s="35"/>
      <c r="I861" s="33"/>
      <c r="J861" s="33" t="str">
        <f t="shared" si="89"/>
        <v/>
      </c>
      <c r="K861" s="36"/>
      <c r="L861" s="37"/>
      <c r="M861" s="37"/>
      <c r="N861" s="37"/>
      <c r="O861" s="37"/>
      <c r="P861" s="37"/>
      <c r="Q861" s="37"/>
      <c r="R861" s="37"/>
      <c r="S861" s="37"/>
      <c r="T861" s="38"/>
      <c r="U861" s="40"/>
      <c r="V861" s="40"/>
      <c r="W861" s="40"/>
      <c r="X861" s="41"/>
      <c r="Y861" s="37"/>
      <c r="Z861" s="37"/>
      <c r="AA861" s="37"/>
      <c r="AB861" s="37"/>
      <c r="AC861" s="37"/>
      <c r="AD861" s="40"/>
      <c r="AE861" s="40"/>
      <c r="AF861" s="40"/>
      <c r="AG861" s="42"/>
      <c r="AH861" s="36"/>
      <c r="AI861" s="36"/>
    </row>
    <row r="862" spans="1:35" x14ac:dyDescent="0.3">
      <c r="A862" s="32" t="str">
        <f t="shared" si="84"/>
        <v/>
      </c>
      <c r="B862" s="33" t="str">
        <f t="shared" si="85"/>
        <v/>
      </c>
      <c r="C862" s="33" t="str">
        <f t="shared" si="86"/>
        <v/>
      </c>
      <c r="D862" s="34"/>
      <c r="E862" s="33" t="str">
        <f t="shared" si="87"/>
        <v/>
      </c>
      <c r="F862" s="33" t="str">
        <f t="shared" si="88"/>
        <v/>
      </c>
      <c r="G862" s="35"/>
      <c r="H862" s="35"/>
      <c r="I862" s="33"/>
      <c r="J862" s="33" t="str">
        <f t="shared" si="89"/>
        <v/>
      </c>
      <c r="K862" s="36"/>
      <c r="L862" s="37"/>
      <c r="M862" s="37"/>
      <c r="N862" s="37"/>
      <c r="O862" s="37"/>
      <c r="P862" s="37"/>
      <c r="Q862" s="37"/>
      <c r="R862" s="37"/>
      <c r="S862" s="37"/>
      <c r="T862" s="38"/>
      <c r="U862" s="40"/>
      <c r="V862" s="40"/>
      <c r="W862" s="40"/>
      <c r="X862" s="41"/>
      <c r="Y862" s="37"/>
      <c r="Z862" s="37"/>
      <c r="AA862" s="37"/>
      <c r="AB862" s="37"/>
      <c r="AC862" s="37"/>
      <c r="AD862" s="40"/>
      <c r="AE862" s="40"/>
      <c r="AF862" s="40"/>
      <c r="AG862" s="42"/>
      <c r="AH862" s="36"/>
      <c r="AI862" s="36"/>
    </row>
    <row r="863" spans="1:35" x14ac:dyDescent="0.3">
      <c r="A863" s="32" t="str">
        <f t="shared" si="84"/>
        <v/>
      </c>
      <c r="B863" s="33" t="str">
        <f t="shared" si="85"/>
        <v/>
      </c>
      <c r="C863" s="33" t="str">
        <f t="shared" si="86"/>
        <v/>
      </c>
      <c r="D863" s="34"/>
      <c r="E863" s="33" t="str">
        <f t="shared" si="87"/>
        <v/>
      </c>
      <c r="F863" s="33" t="str">
        <f t="shared" si="88"/>
        <v/>
      </c>
      <c r="G863" s="35"/>
      <c r="H863" s="35"/>
      <c r="I863" s="33"/>
      <c r="J863" s="33" t="str">
        <f t="shared" si="89"/>
        <v/>
      </c>
      <c r="K863" s="36"/>
      <c r="L863" s="37"/>
      <c r="M863" s="37"/>
      <c r="N863" s="37"/>
      <c r="O863" s="37"/>
      <c r="P863" s="37"/>
      <c r="Q863" s="37"/>
      <c r="R863" s="37"/>
      <c r="S863" s="37"/>
      <c r="T863" s="38"/>
      <c r="U863" s="40"/>
      <c r="V863" s="40"/>
      <c r="W863" s="40"/>
      <c r="X863" s="41"/>
      <c r="Y863" s="37"/>
      <c r="Z863" s="37"/>
      <c r="AA863" s="37"/>
      <c r="AB863" s="37"/>
      <c r="AC863" s="37"/>
      <c r="AD863" s="40"/>
      <c r="AE863" s="40"/>
      <c r="AF863" s="40"/>
      <c r="AG863" s="42"/>
      <c r="AH863" s="36"/>
      <c r="AI863" s="36"/>
    </row>
    <row r="864" spans="1:35" x14ac:dyDescent="0.3">
      <c r="A864" s="32" t="str">
        <f t="shared" si="84"/>
        <v/>
      </c>
      <c r="B864" s="33" t="str">
        <f t="shared" si="85"/>
        <v/>
      </c>
      <c r="C864" s="33" t="str">
        <f t="shared" si="86"/>
        <v/>
      </c>
      <c r="D864" s="34"/>
      <c r="E864" s="33" t="str">
        <f t="shared" si="87"/>
        <v/>
      </c>
      <c r="F864" s="33" t="str">
        <f t="shared" si="88"/>
        <v/>
      </c>
      <c r="G864" s="35"/>
      <c r="H864" s="35"/>
      <c r="I864" s="33"/>
      <c r="J864" s="33" t="str">
        <f t="shared" si="89"/>
        <v/>
      </c>
      <c r="K864" s="36"/>
      <c r="L864" s="37"/>
      <c r="M864" s="37"/>
      <c r="N864" s="37"/>
      <c r="O864" s="37"/>
      <c r="P864" s="37"/>
      <c r="Q864" s="37"/>
      <c r="R864" s="37"/>
      <c r="S864" s="37"/>
      <c r="T864" s="38"/>
      <c r="U864" s="40"/>
      <c r="V864" s="40"/>
      <c r="W864" s="40"/>
      <c r="X864" s="41"/>
      <c r="Y864" s="37"/>
      <c r="Z864" s="37"/>
      <c r="AA864" s="37"/>
      <c r="AB864" s="37"/>
      <c r="AC864" s="37"/>
      <c r="AD864" s="40"/>
      <c r="AE864" s="40"/>
      <c r="AF864" s="40"/>
      <c r="AG864" s="42"/>
      <c r="AH864" s="36"/>
      <c r="AI864" s="36"/>
    </row>
    <row r="865" spans="1:35" x14ac:dyDescent="0.3">
      <c r="A865" s="32" t="str">
        <f t="shared" si="84"/>
        <v/>
      </c>
      <c r="B865" s="33" t="str">
        <f t="shared" si="85"/>
        <v/>
      </c>
      <c r="C865" s="33" t="str">
        <f t="shared" si="86"/>
        <v/>
      </c>
      <c r="D865" s="34"/>
      <c r="E865" s="33" t="str">
        <f t="shared" si="87"/>
        <v/>
      </c>
      <c r="F865" s="33" t="str">
        <f t="shared" si="88"/>
        <v/>
      </c>
      <c r="G865" s="35"/>
      <c r="H865" s="35"/>
      <c r="I865" s="33"/>
      <c r="J865" s="33" t="str">
        <f t="shared" si="89"/>
        <v/>
      </c>
      <c r="K865" s="36"/>
      <c r="L865" s="37"/>
      <c r="M865" s="37"/>
      <c r="N865" s="37"/>
      <c r="O865" s="37"/>
      <c r="P865" s="37"/>
      <c r="Q865" s="37"/>
      <c r="R865" s="37"/>
      <c r="S865" s="37"/>
      <c r="T865" s="38"/>
      <c r="U865" s="40"/>
      <c r="V865" s="40"/>
      <c r="W865" s="40"/>
      <c r="X865" s="41"/>
      <c r="Y865" s="37"/>
      <c r="Z865" s="37"/>
      <c r="AA865" s="37"/>
      <c r="AB865" s="37"/>
      <c r="AC865" s="37"/>
      <c r="AD865" s="40"/>
      <c r="AE865" s="40"/>
      <c r="AF865" s="40"/>
      <c r="AG865" s="42"/>
      <c r="AH865" s="36"/>
      <c r="AI865" s="36"/>
    </row>
    <row r="866" spans="1:35" x14ac:dyDescent="0.3">
      <c r="A866" s="32" t="str">
        <f t="shared" si="84"/>
        <v/>
      </c>
      <c r="B866" s="33" t="str">
        <f t="shared" si="85"/>
        <v/>
      </c>
      <c r="C866" s="33" t="str">
        <f t="shared" si="86"/>
        <v/>
      </c>
      <c r="D866" s="34"/>
      <c r="E866" s="33" t="str">
        <f t="shared" si="87"/>
        <v/>
      </c>
      <c r="F866" s="33" t="str">
        <f t="shared" si="88"/>
        <v/>
      </c>
      <c r="G866" s="35"/>
      <c r="H866" s="35"/>
      <c r="I866" s="33"/>
      <c r="J866" s="33" t="str">
        <f t="shared" si="89"/>
        <v/>
      </c>
      <c r="K866" s="36"/>
      <c r="L866" s="37"/>
      <c r="M866" s="37"/>
      <c r="N866" s="37"/>
      <c r="O866" s="37"/>
      <c r="P866" s="37"/>
      <c r="Q866" s="37"/>
      <c r="R866" s="37"/>
      <c r="S866" s="37"/>
      <c r="T866" s="38"/>
      <c r="U866" s="40"/>
      <c r="V866" s="40"/>
      <c r="W866" s="40"/>
      <c r="X866" s="41"/>
      <c r="Y866" s="37"/>
      <c r="Z866" s="37"/>
      <c r="AA866" s="37"/>
      <c r="AB866" s="37"/>
      <c r="AC866" s="37"/>
      <c r="AD866" s="40"/>
      <c r="AE866" s="40"/>
      <c r="AF866" s="40"/>
      <c r="AG866" s="42"/>
      <c r="AH866" s="36"/>
      <c r="AI866" s="36"/>
    </row>
    <row r="867" spans="1:35" x14ac:dyDescent="0.3">
      <c r="A867" s="32" t="str">
        <f t="shared" si="84"/>
        <v/>
      </c>
      <c r="B867" s="33" t="str">
        <f t="shared" si="85"/>
        <v/>
      </c>
      <c r="C867" s="33" t="str">
        <f t="shared" si="86"/>
        <v/>
      </c>
      <c r="D867" s="34"/>
      <c r="E867" s="33" t="str">
        <f t="shared" si="87"/>
        <v/>
      </c>
      <c r="F867" s="33" t="str">
        <f t="shared" si="88"/>
        <v/>
      </c>
      <c r="G867" s="35"/>
      <c r="H867" s="35"/>
      <c r="I867" s="33"/>
      <c r="J867" s="33" t="str">
        <f t="shared" si="89"/>
        <v/>
      </c>
      <c r="K867" s="36"/>
      <c r="L867" s="37"/>
      <c r="M867" s="37"/>
      <c r="N867" s="37"/>
      <c r="O867" s="37"/>
      <c r="P867" s="37"/>
      <c r="Q867" s="37"/>
      <c r="R867" s="37"/>
      <c r="S867" s="37"/>
      <c r="T867" s="38"/>
      <c r="U867" s="40"/>
      <c r="V867" s="40"/>
      <c r="W867" s="40"/>
      <c r="X867" s="41"/>
      <c r="Y867" s="37"/>
      <c r="Z867" s="37"/>
      <c r="AA867" s="37"/>
      <c r="AB867" s="37"/>
      <c r="AC867" s="37"/>
      <c r="AD867" s="40"/>
      <c r="AE867" s="40"/>
      <c r="AF867" s="40"/>
      <c r="AG867" s="42"/>
      <c r="AH867" s="36"/>
      <c r="AI867" s="36"/>
    </row>
    <row r="868" spans="1:35" x14ac:dyDescent="0.3">
      <c r="A868" s="32" t="str">
        <f t="shared" si="84"/>
        <v/>
      </c>
      <c r="B868" s="33" t="str">
        <f t="shared" si="85"/>
        <v/>
      </c>
      <c r="C868" s="33" t="str">
        <f t="shared" si="86"/>
        <v/>
      </c>
      <c r="D868" s="34"/>
      <c r="E868" s="33" t="str">
        <f t="shared" si="87"/>
        <v/>
      </c>
      <c r="F868" s="33" t="str">
        <f t="shared" si="88"/>
        <v/>
      </c>
      <c r="G868" s="35"/>
      <c r="H868" s="35"/>
      <c r="I868" s="33"/>
      <c r="J868" s="33" t="str">
        <f t="shared" si="89"/>
        <v/>
      </c>
      <c r="K868" s="36"/>
      <c r="L868" s="37"/>
      <c r="M868" s="37"/>
      <c r="N868" s="37"/>
      <c r="O868" s="37"/>
      <c r="P868" s="37"/>
      <c r="Q868" s="37"/>
      <c r="R868" s="37"/>
      <c r="S868" s="37"/>
      <c r="T868" s="38"/>
      <c r="U868" s="40"/>
      <c r="V868" s="40"/>
      <c r="W868" s="40"/>
      <c r="X868" s="41"/>
      <c r="Y868" s="37"/>
      <c r="Z868" s="37"/>
      <c r="AA868" s="37"/>
      <c r="AB868" s="37"/>
      <c r="AC868" s="37"/>
      <c r="AD868" s="40"/>
      <c r="AE868" s="40"/>
      <c r="AF868" s="40"/>
      <c r="AG868" s="42"/>
      <c r="AH868" s="36"/>
      <c r="AI868" s="36"/>
    </row>
    <row r="869" spans="1:35" x14ac:dyDescent="0.3">
      <c r="A869" s="32" t="str">
        <f t="shared" si="84"/>
        <v/>
      </c>
      <c r="B869" s="33" t="str">
        <f t="shared" si="85"/>
        <v/>
      </c>
      <c r="C869" s="33" t="str">
        <f t="shared" si="86"/>
        <v/>
      </c>
      <c r="D869" s="34"/>
      <c r="E869" s="33" t="str">
        <f t="shared" si="87"/>
        <v/>
      </c>
      <c r="F869" s="33" t="str">
        <f t="shared" si="88"/>
        <v/>
      </c>
      <c r="G869" s="35"/>
      <c r="H869" s="35"/>
      <c r="I869" s="33"/>
      <c r="J869" s="33" t="str">
        <f t="shared" si="89"/>
        <v/>
      </c>
      <c r="K869" s="36"/>
      <c r="L869" s="37"/>
      <c r="M869" s="37"/>
      <c r="N869" s="37"/>
      <c r="O869" s="37"/>
      <c r="P869" s="37"/>
      <c r="Q869" s="37"/>
      <c r="R869" s="37"/>
      <c r="S869" s="37"/>
      <c r="T869" s="38"/>
      <c r="U869" s="40"/>
      <c r="V869" s="40"/>
      <c r="W869" s="40"/>
      <c r="X869" s="41"/>
      <c r="Y869" s="37"/>
      <c r="Z869" s="37"/>
      <c r="AA869" s="37"/>
      <c r="AB869" s="37"/>
      <c r="AC869" s="37"/>
      <c r="AD869" s="40"/>
      <c r="AE869" s="40"/>
      <c r="AF869" s="40"/>
      <c r="AG869" s="42"/>
      <c r="AH869" s="36"/>
      <c r="AI869" s="36"/>
    </row>
    <row r="870" spans="1:35" x14ac:dyDescent="0.3">
      <c r="A870" s="32" t="str">
        <f t="shared" si="84"/>
        <v/>
      </c>
      <c r="B870" s="33" t="str">
        <f t="shared" si="85"/>
        <v/>
      </c>
      <c r="C870" s="33" t="str">
        <f t="shared" si="86"/>
        <v/>
      </c>
      <c r="D870" s="34"/>
      <c r="E870" s="33" t="str">
        <f t="shared" si="87"/>
        <v/>
      </c>
      <c r="F870" s="33" t="str">
        <f t="shared" si="88"/>
        <v/>
      </c>
      <c r="G870" s="35"/>
      <c r="H870" s="35"/>
      <c r="I870" s="33"/>
      <c r="J870" s="33" t="str">
        <f t="shared" si="89"/>
        <v/>
      </c>
      <c r="K870" s="36"/>
      <c r="L870" s="37"/>
      <c r="M870" s="37"/>
      <c r="N870" s="37"/>
      <c r="O870" s="37"/>
      <c r="P870" s="37"/>
      <c r="Q870" s="37"/>
      <c r="R870" s="37"/>
      <c r="S870" s="37"/>
      <c r="T870" s="38"/>
      <c r="U870" s="40"/>
      <c r="V870" s="40"/>
      <c r="W870" s="40"/>
      <c r="X870" s="41"/>
      <c r="Y870" s="37"/>
      <c r="Z870" s="37"/>
      <c r="AA870" s="37"/>
      <c r="AB870" s="37"/>
      <c r="AC870" s="37"/>
      <c r="AD870" s="40"/>
      <c r="AE870" s="40"/>
      <c r="AF870" s="40"/>
      <c r="AG870" s="42"/>
      <c r="AH870" s="36"/>
      <c r="AI870" s="36"/>
    </row>
    <row r="871" spans="1:35" x14ac:dyDescent="0.3">
      <c r="A871" s="32" t="str">
        <f t="shared" si="84"/>
        <v/>
      </c>
      <c r="B871" s="33" t="str">
        <f t="shared" si="85"/>
        <v/>
      </c>
      <c r="C871" s="33" t="str">
        <f t="shared" si="86"/>
        <v/>
      </c>
      <c r="D871" s="34"/>
      <c r="E871" s="33" t="str">
        <f t="shared" si="87"/>
        <v/>
      </c>
      <c r="F871" s="33" t="str">
        <f t="shared" si="88"/>
        <v/>
      </c>
      <c r="G871" s="35"/>
      <c r="H871" s="35"/>
      <c r="I871" s="33"/>
      <c r="J871" s="33" t="str">
        <f t="shared" si="89"/>
        <v/>
      </c>
      <c r="K871" s="36"/>
      <c r="L871" s="37"/>
      <c r="M871" s="37"/>
      <c r="N871" s="37"/>
      <c r="O871" s="37"/>
      <c r="P871" s="37"/>
      <c r="Q871" s="37"/>
      <c r="R871" s="37"/>
      <c r="S871" s="37"/>
      <c r="T871" s="38"/>
      <c r="U871" s="40"/>
      <c r="V871" s="40"/>
      <c r="W871" s="40"/>
      <c r="X871" s="41"/>
      <c r="Y871" s="37"/>
      <c r="Z871" s="37"/>
      <c r="AA871" s="37"/>
      <c r="AB871" s="37"/>
      <c r="AC871" s="37"/>
      <c r="AD871" s="40"/>
      <c r="AE871" s="40"/>
      <c r="AF871" s="40"/>
      <c r="AG871" s="42"/>
      <c r="AH871" s="36"/>
      <c r="AI871" s="36"/>
    </row>
    <row r="872" spans="1:35" x14ac:dyDescent="0.3">
      <c r="A872" s="32" t="str">
        <f t="shared" si="84"/>
        <v/>
      </c>
      <c r="B872" s="33" t="str">
        <f t="shared" si="85"/>
        <v/>
      </c>
      <c r="C872" s="33" t="str">
        <f t="shared" si="86"/>
        <v/>
      </c>
      <c r="D872" s="34"/>
      <c r="E872" s="33" t="str">
        <f t="shared" si="87"/>
        <v/>
      </c>
      <c r="F872" s="33" t="str">
        <f t="shared" si="88"/>
        <v/>
      </c>
      <c r="G872" s="35"/>
      <c r="H872" s="35"/>
      <c r="I872" s="33"/>
      <c r="J872" s="33" t="str">
        <f t="shared" si="89"/>
        <v/>
      </c>
      <c r="K872" s="36"/>
      <c r="L872" s="37"/>
      <c r="M872" s="37"/>
      <c r="N872" s="37"/>
      <c r="O872" s="37"/>
      <c r="P872" s="37"/>
      <c r="Q872" s="37"/>
      <c r="R872" s="37"/>
      <c r="S872" s="37"/>
      <c r="T872" s="38"/>
      <c r="U872" s="40"/>
      <c r="V872" s="40"/>
      <c r="W872" s="40"/>
      <c r="X872" s="41"/>
      <c r="Y872" s="37"/>
      <c r="Z872" s="37"/>
      <c r="AA872" s="37"/>
      <c r="AB872" s="37"/>
      <c r="AC872" s="37"/>
      <c r="AD872" s="40"/>
      <c r="AE872" s="40"/>
      <c r="AF872" s="40"/>
      <c r="AG872" s="42"/>
      <c r="AH872" s="36"/>
      <c r="AI872" s="36"/>
    </row>
    <row r="873" spans="1:35" x14ac:dyDescent="0.3">
      <c r="A873" s="32" t="str">
        <f t="shared" si="84"/>
        <v/>
      </c>
      <c r="B873" s="33" t="str">
        <f t="shared" si="85"/>
        <v/>
      </c>
      <c r="C873" s="33" t="str">
        <f t="shared" si="86"/>
        <v/>
      </c>
      <c r="D873" s="34"/>
      <c r="E873" s="33" t="str">
        <f t="shared" si="87"/>
        <v/>
      </c>
      <c r="F873" s="33" t="str">
        <f t="shared" si="88"/>
        <v/>
      </c>
      <c r="G873" s="35"/>
      <c r="H873" s="35"/>
      <c r="I873" s="33"/>
      <c r="J873" s="33" t="str">
        <f t="shared" si="89"/>
        <v/>
      </c>
      <c r="K873" s="36"/>
      <c r="L873" s="37"/>
      <c r="M873" s="37"/>
      <c r="N873" s="37"/>
      <c r="O873" s="37"/>
      <c r="P873" s="37"/>
      <c r="Q873" s="37"/>
      <c r="R873" s="37"/>
      <c r="S873" s="37"/>
      <c r="T873" s="38"/>
      <c r="U873" s="40"/>
      <c r="V873" s="40"/>
      <c r="W873" s="40"/>
      <c r="X873" s="41"/>
      <c r="Y873" s="37"/>
      <c r="Z873" s="37"/>
      <c r="AA873" s="37"/>
      <c r="AB873" s="37"/>
      <c r="AC873" s="37"/>
      <c r="AD873" s="40"/>
      <c r="AE873" s="40"/>
      <c r="AF873" s="40"/>
      <c r="AG873" s="42"/>
      <c r="AH873" s="36"/>
      <c r="AI873" s="36"/>
    </row>
    <row r="874" spans="1:35" x14ac:dyDescent="0.3">
      <c r="A874" s="32" t="str">
        <f t="shared" si="84"/>
        <v/>
      </c>
      <c r="B874" s="33" t="str">
        <f t="shared" si="85"/>
        <v/>
      </c>
      <c r="C874" s="33" t="str">
        <f t="shared" si="86"/>
        <v/>
      </c>
      <c r="D874" s="34"/>
      <c r="E874" s="33" t="str">
        <f t="shared" si="87"/>
        <v/>
      </c>
      <c r="F874" s="33" t="str">
        <f t="shared" si="88"/>
        <v/>
      </c>
      <c r="G874" s="35"/>
      <c r="H874" s="35"/>
      <c r="I874" s="33"/>
      <c r="J874" s="33" t="str">
        <f t="shared" si="89"/>
        <v/>
      </c>
      <c r="K874" s="36"/>
      <c r="L874" s="37"/>
      <c r="M874" s="37"/>
      <c r="N874" s="37"/>
      <c r="O874" s="37"/>
      <c r="P874" s="37"/>
      <c r="Q874" s="37"/>
      <c r="R874" s="37"/>
      <c r="S874" s="37"/>
      <c r="T874" s="38"/>
      <c r="U874" s="40"/>
      <c r="V874" s="40"/>
      <c r="W874" s="40"/>
      <c r="X874" s="41"/>
      <c r="Y874" s="37"/>
      <c r="Z874" s="37"/>
      <c r="AA874" s="37"/>
      <c r="AB874" s="37"/>
      <c r="AC874" s="37"/>
      <c r="AD874" s="40"/>
      <c r="AE874" s="40"/>
      <c r="AF874" s="40"/>
      <c r="AG874" s="42"/>
      <c r="AH874" s="36"/>
      <c r="AI874" s="36"/>
    </row>
    <row r="875" spans="1:35" x14ac:dyDescent="0.3">
      <c r="A875" s="32" t="str">
        <f t="shared" si="84"/>
        <v/>
      </c>
      <c r="B875" s="33" t="str">
        <f t="shared" si="85"/>
        <v/>
      </c>
      <c r="C875" s="33" t="str">
        <f t="shared" si="86"/>
        <v/>
      </c>
      <c r="D875" s="34"/>
      <c r="E875" s="33" t="str">
        <f t="shared" si="87"/>
        <v/>
      </c>
      <c r="F875" s="33" t="str">
        <f t="shared" si="88"/>
        <v/>
      </c>
      <c r="G875" s="35"/>
      <c r="H875" s="35"/>
      <c r="I875" s="33"/>
      <c r="J875" s="33" t="str">
        <f t="shared" si="89"/>
        <v/>
      </c>
      <c r="K875" s="36"/>
      <c r="L875" s="37"/>
      <c r="M875" s="37"/>
      <c r="N875" s="37"/>
      <c r="O875" s="37"/>
      <c r="P875" s="37"/>
      <c r="Q875" s="37"/>
      <c r="R875" s="37"/>
      <c r="S875" s="37"/>
      <c r="T875" s="38"/>
      <c r="U875" s="40"/>
      <c r="V875" s="40"/>
      <c r="W875" s="40"/>
      <c r="X875" s="41"/>
      <c r="Y875" s="37"/>
      <c r="Z875" s="37"/>
      <c r="AA875" s="37"/>
      <c r="AB875" s="37"/>
      <c r="AC875" s="37"/>
      <c r="AD875" s="40"/>
      <c r="AE875" s="40"/>
      <c r="AF875" s="40"/>
      <c r="AG875" s="42"/>
      <c r="AH875" s="36"/>
      <c r="AI875" s="36"/>
    </row>
    <row r="876" spans="1:35" x14ac:dyDescent="0.3">
      <c r="A876" s="32" t="str">
        <f t="shared" si="84"/>
        <v/>
      </c>
      <c r="B876" s="33" t="str">
        <f t="shared" si="85"/>
        <v/>
      </c>
      <c r="C876" s="33" t="str">
        <f t="shared" si="86"/>
        <v/>
      </c>
      <c r="D876" s="34"/>
      <c r="E876" s="33" t="str">
        <f t="shared" si="87"/>
        <v/>
      </c>
      <c r="F876" s="33" t="str">
        <f t="shared" si="88"/>
        <v/>
      </c>
      <c r="G876" s="35"/>
      <c r="H876" s="35"/>
      <c r="I876" s="33"/>
      <c r="J876" s="33" t="str">
        <f t="shared" si="89"/>
        <v/>
      </c>
      <c r="K876" s="36"/>
      <c r="L876" s="37"/>
      <c r="M876" s="37"/>
      <c r="N876" s="37"/>
      <c r="O876" s="37"/>
      <c r="P876" s="37"/>
      <c r="Q876" s="37"/>
      <c r="R876" s="37"/>
      <c r="S876" s="37"/>
      <c r="T876" s="38"/>
      <c r="U876" s="40"/>
      <c r="V876" s="40"/>
      <c r="W876" s="40"/>
      <c r="X876" s="41"/>
      <c r="Y876" s="37"/>
      <c r="Z876" s="37"/>
      <c r="AA876" s="37"/>
      <c r="AB876" s="37"/>
      <c r="AC876" s="37"/>
      <c r="AD876" s="40"/>
      <c r="AE876" s="40"/>
      <c r="AF876" s="40"/>
      <c r="AG876" s="42"/>
      <c r="AH876" s="36"/>
      <c r="AI876" s="36"/>
    </row>
    <row r="877" spans="1:35" x14ac:dyDescent="0.3">
      <c r="A877" s="32" t="str">
        <f t="shared" si="84"/>
        <v/>
      </c>
      <c r="B877" s="33" t="str">
        <f t="shared" si="85"/>
        <v/>
      </c>
      <c r="C877" s="33" t="str">
        <f t="shared" si="86"/>
        <v/>
      </c>
      <c r="D877" s="34"/>
      <c r="E877" s="33" t="str">
        <f t="shared" si="87"/>
        <v/>
      </c>
      <c r="F877" s="33" t="str">
        <f t="shared" si="88"/>
        <v/>
      </c>
      <c r="G877" s="35"/>
      <c r="H877" s="35"/>
      <c r="I877" s="33"/>
      <c r="J877" s="33" t="str">
        <f t="shared" si="89"/>
        <v/>
      </c>
      <c r="K877" s="36"/>
      <c r="L877" s="37"/>
      <c r="M877" s="37"/>
      <c r="N877" s="37"/>
      <c r="O877" s="37"/>
      <c r="P877" s="37"/>
      <c r="Q877" s="37"/>
      <c r="R877" s="37"/>
      <c r="S877" s="37"/>
      <c r="T877" s="38"/>
      <c r="U877" s="40"/>
      <c r="V877" s="40"/>
      <c r="W877" s="40"/>
      <c r="X877" s="41"/>
      <c r="Y877" s="37"/>
      <c r="Z877" s="37"/>
      <c r="AA877" s="37"/>
      <c r="AB877" s="37"/>
      <c r="AC877" s="37"/>
      <c r="AD877" s="40"/>
      <c r="AE877" s="40"/>
      <c r="AF877" s="40"/>
      <c r="AG877" s="42"/>
      <c r="AH877" s="36"/>
      <c r="AI877" s="36"/>
    </row>
    <row r="878" spans="1:35" x14ac:dyDescent="0.3">
      <c r="A878" s="32" t="str">
        <f t="shared" si="84"/>
        <v/>
      </c>
      <c r="B878" s="33" t="str">
        <f t="shared" si="85"/>
        <v/>
      </c>
      <c r="C878" s="33" t="str">
        <f t="shared" si="86"/>
        <v/>
      </c>
      <c r="D878" s="34"/>
      <c r="E878" s="33" t="str">
        <f t="shared" si="87"/>
        <v/>
      </c>
      <c r="F878" s="33" t="str">
        <f t="shared" si="88"/>
        <v/>
      </c>
      <c r="G878" s="35"/>
      <c r="H878" s="35"/>
      <c r="I878" s="33"/>
      <c r="J878" s="33" t="str">
        <f t="shared" si="89"/>
        <v/>
      </c>
      <c r="K878" s="36"/>
      <c r="L878" s="37"/>
      <c r="M878" s="37"/>
      <c r="N878" s="37"/>
      <c r="O878" s="37"/>
      <c r="P878" s="37"/>
      <c r="Q878" s="37"/>
      <c r="R878" s="37"/>
      <c r="S878" s="37"/>
      <c r="T878" s="38"/>
      <c r="U878" s="40"/>
      <c r="V878" s="40"/>
      <c r="W878" s="40"/>
      <c r="X878" s="41"/>
      <c r="Y878" s="37"/>
      <c r="Z878" s="37"/>
      <c r="AA878" s="37"/>
      <c r="AB878" s="37"/>
      <c r="AC878" s="37"/>
      <c r="AD878" s="40"/>
      <c r="AE878" s="40"/>
      <c r="AF878" s="40"/>
      <c r="AG878" s="42"/>
      <c r="AH878" s="36"/>
      <c r="AI878" s="36"/>
    </row>
    <row r="879" spans="1:35" x14ac:dyDescent="0.3">
      <c r="A879" s="32" t="str">
        <f t="shared" si="84"/>
        <v/>
      </c>
      <c r="B879" s="33" t="str">
        <f t="shared" si="85"/>
        <v/>
      </c>
      <c r="C879" s="33" t="str">
        <f t="shared" si="86"/>
        <v/>
      </c>
      <c r="D879" s="34"/>
      <c r="E879" s="33" t="str">
        <f t="shared" si="87"/>
        <v/>
      </c>
      <c r="F879" s="33" t="str">
        <f t="shared" si="88"/>
        <v/>
      </c>
      <c r="G879" s="35"/>
      <c r="H879" s="35"/>
      <c r="I879" s="33"/>
      <c r="J879" s="33" t="str">
        <f t="shared" si="89"/>
        <v/>
      </c>
      <c r="K879" s="36"/>
      <c r="L879" s="37"/>
      <c r="M879" s="37"/>
      <c r="N879" s="37"/>
      <c r="O879" s="37"/>
      <c r="P879" s="37"/>
      <c r="Q879" s="37"/>
      <c r="R879" s="37"/>
      <c r="S879" s="37"/>
      <c r="T879" s="38"/>
      <c r="U879" s="40"/>
      <c r="V879" s="40"/>
      <c r="W879" s="40"/>
      <c r="X879" s="41"/>
      <c r="Y879" s="37"/>
      <c r="Z879" s="37"/>
      <c r="AA879" s="37"/>
      <c r="AB879" s="37"/>
      <c r="AC879" s="37"/>
      <c r="AD879" s="40"/>
      <c r="AE879" s="40"/>
      <c r="AF879" s="40"/>
      <c r="AG879" s="42"/>
      <c r="AH879" s="36"/>
      <c r="AI879" s="36"/>
    </row>
    <row r="880" spans="1:35" x14ac:dyDescent="0.3">
      <c r="A880" s="32" t="str">
        <f t="shared" si="84"/>
        <v/>
      </c>
      <c r="B880" s="33" t="str">
        <f t="shared" si="85"/>
        <v/>
      </c>
      <c r="C880" s="33" t="str">
        <f t="shared" si="86"/>
        <v/>
      </c>
      <c r="D880" s="34"/>
      <c r="E880" s="33" t="str">
        <f t="shared" si="87"/>
        <v/>
      </c>
      <c r="F880" s="33" t="str">
        <f t="shared" si="88"/>
        <v/>
      </c>
      <c r="G880" s="35"/>
      <c r="H880" s="35"/>
      <c r="I880" s="33"/>
      <c r="J880" s="33" t="str">
        <f t="shared" si="89"/>
        <v/>
      </c>
      <c r="K880" s="36"/>
      <c r="L880" s="37"/>
      <c r="M880" s="37"/>
      <c r="N880" s="37"/>
      <c r="O880" s="37"/>
      <c r="P880" s="37"/>
      <c r="Q880" s="37"/>
      <c r="R880" s="37"/>
      <c r="S880" s="37"/>
      <c r="T880" s="38"/>
      <c r="U880" s="40"/>
      <c r="V880" s="40"/>
      <c r="W880" s="40"/>
      <c r="X880" s="41"/>
      <c r="Y880" s="37"/>
      <c r="Z880" s="37"/>
      <c r="AA880" s="37"/>
      <c r="AB880" s="37"/>
      <c r="AC880" s="37"/>
      <c r="AD880" s="40"/>
      <c r="AE880" s="40"/>
      <c r="AF880" s="40"/>
      <c r="AG880" s="42"/>
      <c r="AH880" s="36"/>
      <c r="AI880" s="36"/>
    </row>
    <row r="881" spans="1:35" x14ac:dyDescent="0.3">
      <c r="A881" s="32" t="str">
        <f t="shared" si="84"/>
        <v/>
      </c>
      <c r="B881" s="33" t="str">
        <f t="shared" si="85"/>
        <v/>
      </c>
      <c r="C881" s="33" t="str">
        <f t="shared" si="86"/>
        <v/>
      </c>
      <c r="D881" s="34"/>
      <c r="E881" s="33" t="str">
        <f t="shared" si="87"/>
        <v/>
      </c>
      <c r="F881" s="33" t="str">
        <f t="shared" si="88"/>
        <v/>
      </c>
      <c r="G881" s="35"/>
      <c r="H881" s="35"/>
      <c r="I881" s="33"/>
      <c r="J881" s="33" t="str">
        <f t="shared" si="89"/>
        <v/>
      </c>
      <c r="K881" s="36"/>
      <c r="L881" s="37"/>
      <c r="M881" s="37"/>
      <c r="N881" s="37"/>
      <c r="O881" s="37"/>
      <c r="P881" s="37"/>
      <c r="Q881" s="37"/>
      <c r="R881" s="37"/>
      <c r="S881" s="37"/>
      <c r="T881" s="38"/>
      <c r="U881" s="40"/>
      <c r="V881" s="40"/>
      <c r="W881" s="40"/>
      <c r="X881" s="41"/>
      <c r="Y881" s="37"/>
      <c r="Z881" s="37"/>
      <c r="AA881" s="37"/>
      <c r="AB881" s="37"/>
      <c r="AC881" s="37"/>
      <c r="AD881" s="40"/>
      <c r="AE881" s="40"/>
      <c r="AF881" s="40"/>
      <c r="AG881" s="42"/>
      <c r="AH881" s="36"/>
      <c r="AI881" s="36"/>
    </row>
    <row r="882" spans="1:35" x14ac:dyDescent="0.3">
      <c r="A882" s="32" t="str">
        <f t="shared" si="84"/>
        <v/>
      </c>
      <c r="B882" s="33" t="str">
        <f t="shared" si="85"/>
        <v/>
      </c>
      <c r="C882" s="33" t="str">
        <f t="shared" si="86"/>
        <v/>
      </c>
      <c r="D882" s="34"/>
      <c r="E882" s="33" t="str">
        <f t="shared" si="87"/>
        <v/>
      </c>
      <c r="F882" s="33" t="str">
        <f t="shared" si="88"/>
        <v/>
      </c>
      <c r="G882" s="35"/>
      <c r="H882" s="35"/>
      <c r="I882" s="33"/>
      <c r="J882" s="33" t="str">
        <f t="shared" si="89"/>
        <v/>
      </c>
      <c r="K882" s="36"/>
      <c r="L882" s="37"/>
      <c r="M882" s="37"/>
      <c r="N882" s="37"/>
      <c r="O882" s="37"/>
      <c r="P882" s="37"/>
      <c r="Q882" s="37"/>
      <c r="R882" s="37"/>
      <c r="S882" s="37"/>
      <c r="T882" s="38"/>
      <c r="U882" s="40"/>
      <c r="V882" s="40"/>
      <c r="W882" s="40"/>
      <c r="X882" s="41"/>
      <c r="Y882" s="37"/>
      <c r="Z882" s="37"/>
      <c r="AA882" s="37"/>
      <c r="AB882" s="37"/>
      <c r="AC882" s="37"/>
      <c r="AD882" s="40"/>
      <c r="AE882" s="40"/>
      <c r="AF882" s="40"/>
      <c r="AG882" s="42"/>
      <c r="AH882" s="36"/>
      <c r="AI882" s="36"/>
    </row>
    <row r="883" spans="1:35" x14ac:dyDescent="0.3">
      <c r="A883" s="32" t="str">
        <f t="shared" si="84"/>
        <v/>
      </c>
      <c r="B883" s="33" t="str">
        <f t="shared" si="85"/>
        <v/>
      </c>
      <c r="C883" s="33" t="str">
        <f t="shared" si="86"/>
        <v/>
      </c>
      <c r="D883" s="34"/>
      <c r="E883" s="33" t="str">
        <f t="shared" si="87"/>
        <v/>
      </c>
      <c r="F883" s="33" t="str">
        <f t="shared" si="88"/>
        <v/>
      </c>
      <c r="G883" s="35"/>
      <c r="H883" s="35"/>
      <c r="I883" s="33"/>
      <c r="J883" s="33" t="str">
        <f t="shared" si="89"/>
        <v/>
      </c>
      <c r="K883" s="36"/>
      <c r="L883" s="37"/>
      <c r="M883" s="37"/>
      <c r="N883" s="37"/>
      <c r="O883" s="37"/>
      <c r="P883" s="37"/>
      <c r="Q883" s="37"/>
      <c r="R883" s="37"/>
      <c r="S883" s="37"/>
      <c r="T883" s="38"/>
      <c r="U883" s="40"/>
      <c r="V883" s="40"/>
      <c r="W883" s="40"/>
      <c r="X883" s="41"/>
      <c r="Y883" s="37"/>
      <c r="Z883" s="37"/>
      <c r="AA883" s="37"/>
      <c r="AB883" s="37"/>
      <c r="AC883" s="37"/>
      <c r="AD883" s="40"/>
      <c r="AE883" s="40"/>
      <c r="AF883" s="40"/>
      <c r="AG883" s="42"/>
      <c r="AH883" s="36"/>
      <c r="AI883" s="36"/>
    </row>
    <row r="884" spans="1:35" x14ac:dyDescent="0.3">
      <c r="A884" s="32" t="str">
        <f t="shared" si="84"/>
        <v/>
      </c>
      <c r="B884" s="33" t="str">
        <f t="shared" si="85"/>
        <v/>
      </c>
      <c r="C884" s="33" t="str">
        <f t="shared" si="86"/>
        <v/>
      </c>
      <c r="D884" s="34"/>
      <c r="E884" s="33" t="str">
        <f t="shared" si="87"/>
        <v/>
      </c>
      <c r="F884" s="33" t="str">
        <f t="shared" si="88"/>
        <v/>
      </c>
      <c r="G884" s="35"/>
      <c r="H884" s="35"/>
      <c r="I884" s="33"/>
      <c r="J884" s="33" t="str">
        <f t="shared" si="89"/>
        <v/>
      </c>
      <c r="K884" s="36"/>
      <c r="L884" s="37"/>
      <c r="M884" s="37"/>
      <c r="N884" s="37"/>
      <c r="O884" s="37"/>
      <c r="P884" s="37"/>
      <c r="Q884" s="37"/>
      <c r="R884" s="37"/>
      <c r="S884" s="37"/>
      <c r="T884" s="38"/>
      <c r="U884" s="40"/>
      <c r="V884" s="40"/>
      <c r="W884" s="40"/>
      <c r="X884" s="41"/>
      <c r="Y884" s="37"/>
      <c r="Z884" s="37"/>
      <c r="AA884" s="37"/>
      <c r="AB884" s="37"/>
      <c r="AC884" s="37"/>
      <c r="AD884" s="40"/>
      <c r="AE884" s="40"/>
      <c r="AF884" s="40"/>
      <c r="AG884" s="42"/>
      <c r="AH884" s="36"/>
      <c r="AI884" s="36"/>
    </row>
    <row r="885" spans="1:35" x14ac:dyDescent="0.3">
      <c r="A885" s="32" t="str">
        <f t="shared" si="84"/>
        <v/>
      </c>
      <c r="B885" s="33" t="str">
        <f t="shared" si="85"/>
        <v/>
      </c>
      <c r="C885" s="33" t="str">
        <f t="shared" si="86"/>
        <v/>
      </c>
      <c r="D885" s="34"/>
      <c r="E885" s="33" t="str">
        <f t="shared" si="87"/>
        <v/>
      </c>
      <c r="F885" s="33" t="str">
        <f t="shared" si="88"/>
        <v/>
      </c>
      <c r="G885" s="35"/>
      <c r="H885" s="35"/>
      <c r="I885" s="33"/>
      <c r="J885" s="33" t="str">
        <f t="shared" si="89"/>
        <v/>
      </c>
      <c r="K885" s="36"/>
      <c r="L885" s="37"/>
      <c r="M885" s="37"/>
      <c r="N885" s="37"/>
      <c r="O885" s="37"/>
      <c r="P885" s="37"/>
      <c r="Q885" s="37"/>
      <c r="R885" s="37"/>
      <c r="S885" s="37"/>
      <c r="T885" s="38"/>
      <c r="U885" s="40"/>
      <c r="V885" s="40"/>
      <c r="W885" s="40"/>
      <c r="X885" s="41"/>
      <c r="Y885" s="37"/>
      <c r="Z885" s="37"/>
      <c r="AA885" s="37"/>
      <c r="AB885" s="37"/>
      <c r="AC885" s="37"/>
      <c r="AD885" s="40"/>
      <c r="AE885" s="40"/>
      <c r="AF885" s="40"/>
      <c r="AG885" s="42"/>
      <c r="AH885" s="36"/>
      <c r="AI885" s="36"/>
    </row>
    <row r="886" spans="1:35" x14ac:dyDescent="0.3">
      <c r="A886" s="32" t="str">
        <f t="shared" si="84"/>
        <v/>
      </c>
      <c r="B886" s="33" t="str">
        <f t="shared" si="85"/>
        <v/>
      </c>
      <c r="C886" s="33" t="str">
        <f t="shared" si="86"/>
        <v/>
      </c>
      <c r="D886" s="34"/>
      <c r="E886" s="33" t="str">
        <f t="shared" si="87"/>
        <v/>
      </c>
      <c r="F886" s="33" t="str">
        <f t="shared" si="88"/>
        <v/>
      </c>
      <c r="G886" s="35"/>
      <c r="H886" s="35"/>
      <c r="I886" s="33"/>
      <c r="J886" s="33" t="str">
        <f t="shared" si="89"/>
        <v/>
      </c>
      <c r="K886" s="36"/>
      <c r="L886" s="37"/>
      <c r="M886" s="37"/>
      <c r="N886" s="37"/>
      <c r="O886" s="37"/>
      <c r="P886" s="37"/>
      <c r="Q886" s="37"/>
      <c r="R886" s="37"/>
      <c r="S886" s="37"/>
      <c r="T886" s="38"/>
      <c r="U886" s="40"/>
      <c r="V886" s="40"/>
      <c r="W886" s="40"/>
      <c r="X886" s="41"/>
      <c r="Y886" s="37"/>
      <c r="Z886" s="37"/>
      <c r="AA886" s="37"/>
      <c r="AB886" s="37"/>
      <c r="AC886" s="37"/>
      <c r="AD886" s="40"/>
      <c r="AE886" s="40"/>
      <c r="AF886" s="40"/>
      <c r="AG886" s="42"/>
      <c r="AH886" s="36"/>
      <c r="AI886" s="36"/>
    </row>
    <row r="887" spans="1:35" x14ac:dyDescent="0.3">
      <c r="A887" s="32" t="str">
        <f t="shared" si="84"/>
        <v/>
      </c>
      <c r="B887" s="33" t="str">
        <f t="shared" si="85"/>
        <v/>
      </c>
      <c r="C887" s="33" t="str">
        <f t="shared" si="86"/>
        <v/>
      </c>
      <c r="D887" s="34"/>
      <c r="E887" s="33" t="str">
        <f t="shared" si="87"/>
        <v/>
      </c>
      <c r="F887" s="33" t="str">
        <f t="shared" si="88"/>
        <v/>
      </c>
      <c r="G887" s="35"/>
      <c r="H887" s="35"/>
      <c r="I887" s="33"/>
      <c r="J887" s="33" t="str">
        <f t="shared" si="89"/>
        <v/>
      </c>
      <c r="K887" s="36"/>
      <c r="L887" s="37"/>
      <c r="M887" s="37"/>
      <c r="N887" s="37"/>
      <c r="O887" s="37"/>
      <c r="P887" s="37"/>
      <c r="Q887" s="37"/>
      <c r="R887" s="37"/>
      <c r="S887" s="37"/>
      <c r="T887" s="38"/>
      <c r="U887" s="40"/>
      <c r="V887" s="40"/>
      <c r="W887" s="40"/>
      <c r="X887" s="41"/>
      <c r="Y887" s="37"/>
      <c r="Z887" s="37"/>
      <c r="AA887" s="37"/>
      <c r="AB887" s="37"/>
      <c r="AC887" s="37"/>
      <c r="AD887" s="40"/>
      <c r="AE887" s="40"/>
      <c r="AF887" s="40"/>
      <c r="AG887" s="42"/>
      <c r="AH887" s="36"/>
      <c r="AI887" s="36"/>
    </row>
    <row r="888" spans="1:35" x14ac:dyDescent="0.3">
      <c r="A888" s="32" t="str">
        <f t="shared" si="84"/>
        <v/>
      </c>
      <c r="B888" s="33" t="str">
        <f t="shared" si="85"/>
        <v/>
      </c>
      <c r="C888" s="33" t="str">
        <f t="shared" si="86"/>
        <v/>
      </c>
      <c r="D888" s="34"/>
      <c r="E888" s="33" t="str">
        <f t="shared" si="87"/>
        <v/>
      </c>
      <c r="F888" s="33" t="str">
        <f t="shared" si="88"/>
        <v/>
      </c>
      <c r="G888" s="35"/>
      <c r="H888" s="35"/>
      <c r="I888" s="33"/>
      <c r="J888" s="33" t="str">
        <f t="shared" si="89"/>
        <v/>
      </c>
      <c r="K888" s="36"/>
      <c r="L888" s="37"/>
      <c r="M888" s="37"/>
      <c r="N888" s="37"/>
      <c r="O888" s="37"/>
      <c r="P888" s="37"/>
      <c r="Q888" s="37"/>
      <c r="R888" s="37"/>
      <c r="S888" s="37"/>
      <c r="T888" s="38"/>
      <c r="U888" s="40"/>
      <c r="V888" s="40"/>
      <c r="W888" s="40"/>
      <c r="X888" s="41"/>
      <c r="Y888" s="37"/>
      <c r="Z888" s="37"/>
      <c r="AA888" s="37"/>
      <c r="AB888" s="37"/>
      <c r="AC888" s="37"/>
      <c r="AD888" s="40"/>
      <c r="AE888" s="40"/>
      <c r="AF888" s="40"/>
      <c r="AG888" s="42"/>
      <c r="AH888" s="36"/>
      <c r="AI888" s="36"/>
    </row>
    <row r="889" spans="1:35" x14ac:dyDescent="0.3">
      <c r="A889" s="32" t="str">
        <f t="shared" si="84"/>
        <v/>
      </c>
      <c r="B889" s="33" t="str">
        <f t="shared" si="85"/>
        <v/>
      </c>
      <c r="C889" s="33" t="str">
        <f t="shared" si="86"/>
        <v/>
      </c>
      <c r="D889" s="34"/>
      <c r="E889" s="33" t="str">
        <f t="shared" si="87"/>
        <v/>
      </c>
      <c r="F889" s="33" t="str">
        <f t="shared" si="88"/>
        <v/>
      </c>
      <c r="G889" s="35"/>
      <c r="H889" s="35"/>
      <c r="I889" s="33"/>
      <c r="J889" s="33" t="str">
        <f t="shared" si="89"/>
        <v/>
      </c>
      <c r="K889" s="36"/>
      <c r="L889" s="37"/>
      <c r="M889" s="37"/>
      <c r="N889" s="37"/>
      <c r="O889" s="37"/>
      <c r="P889" s="37"/>
      <c r="Q889" s="37"/>
      <c r="R889" s="37"/>
      <c r="S889" s="37"/>
      <c r="T889" s="38"/>
      <c r="U889" s="40"/>
      <c r="V889" s="40"/>
      <c r="W889" s="40"/>
      <c r="X889" s="41"/>
      <c r="Y889" s="37"/>
      <c r="Z889" s="37"/>
      <c r="AA889" s="37"/>
      <c r="AB889" s="37"/>
      <c r="AC889" s="37"/>
      <c r="AD889" s="40"/>
      <c r="AE889" s="40"/>
      <c r="AF889" s="40"/>
      <c r="AG889" s="42"/>
      <c r="AH889" s="36"/>
      <c r="AI889" s="36"/>
    </row>
    <row r="890" spans="1:35" x14ac:dyDescent="0.3">
      <c r="A890" s="32" t="str">
        <f t="shared" si="84"/>
        <v/>
      </c>
      <c r="B890" s="33" t="str">
        <f t="shared" si="85"/>
        <v/>
      </c>
      <c r="C890" s="33" t="str">
        <f t="shared" si="86"/>
        <v/>
      </c>
      <c r="D890" s="34"/>
      <c r="E890" s="33" t="str">
        <f t="shared" si="87"/>
        <v/>
      </c>
      <c r="F890" s="33" t="str">
        <f t="shared" si="88"/>
        <v/>
      </c>
      <c r="G890" s="35"/>
      <c r="H890" s="35"/>
      <c r="I890" s="33"/>
      <c r="J890" s="33" t="str">
        <f t="shared" si="89"/>
        <v/>
      </c>
      <c r="K890" s="36"/>
      <c r="L890" s="37"/>
      <c r="M890" s="37"/>
      <c r="N890" s="37"/>
      <c r="O890" s="37"/>
      <c r="P890" s="37"/>
      <c r="Q890" s="37"/>
      <c r="R890" s="37"/>
      <c r="S890" s="37"/>
      <c r="T890" s="38"/>
      <c r="U890" s="40"/>
      <c r="V890" s="40"/>
      <c r="W890" s="40"/>
      <c r="X890" s="41"/>
      <c r="Y890" s="37"/>
      <c r="Z890" s="37"/>
      <c r="AA890" s="37"/>
      <c r="AB890" s="37"/>
      <c r="AC890" s="37"/>
      <c r="AD890" s="40"/>
      <c r="AE890" s="40"/>
      <c r="AF890" s="40"/>
      <c r="AG890" s="42"/>
      <c r="AH890" s="36"/>
      <c r="AI890" s="36"/>
    </row>
    <row r="891" spans="1:35" x14ac:dyDescent="0.3">
      <c r="A891" s="32" t="str">
        <f t="shared" si="84"/>
        <v/>
      </c>
      <c r="B891" s="33" t="str">
        <f t="shared" si="85"/>
        <v/>
      </c>
      <c r="C891" s="33" t="str">
        <f t="shared" si="86"/>
        <v/>
      </c>
      <c r="D891" s="34"/>
      <c r="E891" s="33" t="str">
        <f t="shared" si="87"/>
        <v/>
      </c>
      <c r="F891" s="33" t="str">
        <f t="shared" si="88"/>
        <v/>
      </c>
      <c r="G891" s="35"/>
      <c r="H891" s="35"/>
      <c r="I891" s="33"/>
      <c r="J891" s="33" t="str">
        <f t="shared" si="89"/>
        <v/>
      </c>
      <c r="K891" s="36"/>
      <c r="L891" s="37"/>
      <c r="M891" s="37"/>
      <c r="N891" s="37"/>
      <c r="O891" s="37"/>
      <c r="P891" s="37"/>
      <c r="Q891" s="37"/>
      <c r="R891" s="37"/>
      <c r="S891" s="37"/>
      <c r="T891" s="38"/>
      <c r="U891" s="40"/>
      <c r="V891" s="40"/>
      <c r="W891" s="40"/>
      <c r="X891" s="41"/>
      <c r="Y891" s="37"/>
      <c r="Z891" s="37"/>
      <c r="AA891" s="37"/>
      <c r="AB891" s="37"/>
      <c r="AC891" s="37"/>
      <c r="AD891" s="40"/>
      <c r="AE891" s="40"/>
      <c r="AF891" s="40"/>
      <c r="AG891" s="42"/>
      <c r="AH891" s="36"/>
      <c r="AI891" s="36"/>
    </row>
    <row r="892" spans="1:35" x14ac:dyDescent="0.3">
      <c r="A892" s="32" t="str">
        <f t="shared" si="84"/>
        <v/>
      </c>
      <c r="B892" s="33" t="str">
        <f t="shared" si="85"/>
        <v/>
      </c>
      <c r="C892" s="33" t="str">
        <f t="shared" si="86"/>
        <v/>
      </c>
      <c r="D892" s="34"/>
      <c r="E892" s="33" t="str">
        <f t="shared" si="87"/>
        <v/>
      </c>
      <c r="F892" s="33" t="str">
        <f t="shared" si="88"/>
        <v/>
      </c>
      <c r="G892" s="35"/>
      <c r="H892" s="35"/>
      <c r="I892" s="33"/>
      <c r="J892" s="33" t="str">
        <f t="shared" si="89"/>
        <v/>
      </c>
      <c r="K892" s="36"/>
      <c r="L892" s="37"/>
      <c r="M892" s="37"/>
      <c r="N892" s="37"/>
      <c r="O892" s="37"/>
      <c r="P892" s="37"/>
      <c r="Q892" s="37"/>
      <c r="R892" s="37"/>
      <c r="S892" s="37"/>
      <c r="T892" s="38"/>
      <c r="U892" s="40"/>
      <c r="V892" s="40"/>
      <c r="W892" s="40"/>
      <c r="X892" s="41"/>
      <c r="Y892" s="37"/>
      <c r="Z892" s="37"/>
      <c r="AA892" s="37"/>
      <c r="AB892" s="37"/>
      <c r="AC892" s="37"/>
      <c r="AD892" s="40"/>
      <c r="AE892" s="40"/>
      <c r="AF892" s="40"/>
      <c r="AG892" s="42"/>
      <c r="AH892" s="36"/>
      <c r="AI892" s="36"/>
    </row>
    <row r="893" spans="1:35" x14ac:dyDescent="0.3">
      <c r="A893" s="32" t="str">
        <f t="shared" si="84"/>
        <v/>
      </c>
      <c r="B893" s="33" t="str">
        <f t="shared" si="85"/>
        <v/>
      </c>
      <c r="C893" s="33" t="str">
        <f t="shared" si="86"/>
        <v/>
      </c>
      <c r="D893" s="34"/>
      <c r="E893" s="33" t="str">
        <f t="shared" si="87"/>
        <v/>
      </c>
      <c r="F893" s="33" t="str">
        <f t="shared" si="88"/>
        <v/>
      </c>
      <c r="G893" s="35"/>
      <c r="H893" s="35"/>
      <c r="I893" s="33"/>
      <c r="J893" s="33" t="str">
        <f t="shared" si="89"/>
        <v/>
      </c>
      <c r="K893" s="36"/>
      <c r="L893" s="37"/>
      <c r="M893" s="37"/>
      <c r="N893" s="37"/>
      <c r="O893" s="37"/>
      <c r="P893" s="37"/>
      <c r="Q893" s="37"/>
      <c r="R893" s="37"/>
      <c r="S893" s="37"/>
      <c r="T893" s="38"/>
      <c r="U893" s="40"/>
      <c r="V893" s="40"/>
      <c r="W893" s="40"/>
      <c r="X893" s="41"/>
      <c r="Y893" s="37"/>
      <c r="Z893" s="37"/>
      <c r="AA893" s="37"/>
      <c r="AB893" s="37"/>
      <c r="AC893" s="37"/>
      <c r="AD893" s="40"/>
      <c r="AE893" s="40"/>
      <c r="AF893" s="40"/>
      <c r="AG893" s="42"/>
      <c r="AH893" s="36"/>
      <c r="AI893" s="36"/>
    </row>
    <row r="894" spans="1:35" x14ac:dyDescent="0.3">
      <c r="A894" s="32" t="str">
        <f t="shared" si="84"/>
        <v/>
      </c>
      <c r="B894" s="33" t="str">
        <f t="shared" si="85"/>
        <v/>
      </c>
      <c r="C894" s="33" t="str">
        <f t="shared" si="86"/>
        <v/>
      </c>
      <c r="D894" s="34"/>
      <c r="E894" s="33" t="str">
        <f t="shared" si="87"/>
        <v/>
      </c>
      <c r="F894" s="33" t="str">
        <f t="shared" si="88"/>
        <v/>
      </c>
      <c r="G894" s="35"/>
      <c r="H894" s="35"/>
      <c r="I894" s="33"/>
      <c r="J894" s="33" t="str">
        <f t="shared" si="89"/>
        <v/>
      </c>
      <c r="K894" s="36"/>
      <c r="L894" s="37"/>
      <c r="M894" s="37"/>
      <c r="N894" s="37"/>
      <c r="O894" s="37"/>
      <c r="P894" s="37"/>
      <c r="Q894" s="37"/>
      <c r="R894" s="37"/>
      <c r="S894" s="37"/>
      <c r="T894" s="38"/>
      <c r="U894" s="40"/>
      <c r="V894" s="40"/>
      <c r="W894" s="40"/>
      <c r="X894" s="41"/>
      <c r="Y894" s="37"/>
      <c r="Z894" s="37"/>
      <c r="AA894" s="37"/>
      <c r="AB894" s="37"/>
      <c r="AC894" s="37"/>
      <c r="AD894" s="40"/>
      <c r="AE894" s="40"/>
      <c r="AF894" s="40"/>
      <c r="AG894" s="42"/>
      <c r="AH894" s="36"/>
      <c r="AI894" s="36"/>
    </row>
    <row r="895" spans="1:35" x14ac:dyDescent="0.3">
      <c r="A895" s="32" t="str">
        <f t="shared" si="84"/>
        <v/>
      </c>
      <c r="B895" s="33" t="str">
        <f t="shared" si="85"/>
        <v/>
      </c>
      <c r="C895" s="33" t="str">
        <f t="shared" si="86"/>
        <v/>
      </c>
      <c r="D895" s="34"/>
      <c r="E895" s="33" t="str">
        <f t="shared" si="87"/>
        <v/>
      </c>
      <c r="F895" s="33" t="str">
        <f t="shared" si="88"/>
        <v/>
      </c>
      <c r="G895" s="35"/>
      <c r="H895" s="35"/>
      <c r="I895" s="33"/>
      <c r="J895" s="33" t="str">
        <f t="shared" si="89"/>
        <v/>
      </c>
      <c r="K895" s="36"/>
      <c r="L895" s="37"/>
      <c r="M895" s="37"/>
      <c r="N895" s="37"/>
      <c r="O895" s="37"/>
      <c r="P895" s="37"/>
      <c r="Q895" s="37"/>
      <c r="R895" s="37"/>
      <c r="S895" s="37"/>
      <c r="T895" s="38"/>
      <c r="U895" s="40"/>
      <c r="V895" s="40"/>
      <c r="W895" s="40"/>
      <c r="X895" s="41"/>
      <c r="Y895" s="37"/>
      <c r="Z895" s="37"/>
      <c r="AA895" s="37"/>
      <c r="AB895" s="37"/>
      <c r="AC895" s="37"/>
      <c r="AD895" s="40"/>
      <c r="AE895" s="40"/>
      <c r="AF895" s="40"/>
      <c r="AG895" s="42"/>
      <c r="AH895" s="36"/>
      <c r="AI895" s="36"/>
    </row>
    <row r="896" spans="1:35" x14ac:dyDescent="0.3">
      <c r="A896" s="32" t="str">
        <f t="shared" si="84"/>
        <v/>
      </c>
      <c r="B896" s="33" t="str">
        <f t="shared" si="85"/>
        <v/>
      </c>
      <c r="C896" s="33" t="str">
        <f t="shared" si="86"/>
        <v/>
      </c>
      <c r="D896" s="34"/>
      <c r="E896" s="33" t="str">
        <f t="shared" si="87"/>
        <v/>
      </c>
      <c r="F896" s="33" t="str">
        <f t="shared" si="88"/>
        <v/>
      </c>
      <c r="G896" s="35"/>
      <c r="H896" s="35"/>
      <c r="I896" s="33"/>
      <c r="J896" s="33" t="str">
        <f t="shared" si="89"/>
        <v/>
      </c>
      <c r="K896" s="36"/>
      <c r="L896" s="37"/>
      <c r="M896" s="37"/>
      <c r="N896" s="37"/>
      <c r="O896" s="37"/>
      <c r="P896" s="37"/>
      <c r="Q896" s="37"/>
      <c r="R896" s="37"/>
      <c r="S896" s="37"/>
      <c r="T896" s="38"/>
      <c r="U896" s="40"/>
      <c r="V896" s="40"/>
      <c r="W896" s="40"/>
      <c r="X896" s="41"/>
      <c r="Y896" s="37"/>
      <c r="Z896" s="37"/>
      <c r="AA896" s="37"/>
      <c r="AB896" s="37"/>
      <c r="AC896" s="37"/>
      <c r="AD896" s="40"/>
      <c r="AE896" s="40"/>
      <c r="AF896" s="40"/>
      <c r="AG896" s="42"/>
      <c r="AH896" s="36"/>
      <c r="AI896" s="36"/>
    </row>
    <row r="897" spans="1:35" x14ac:dyDescent="0.3">
      <c r="A897" s="32" t="str">
        <f t="shared" si="84"/>
        <v/>
      </c>
      <c r="B897" s="33" t="str">
        <f t="shared" si="85"/>
        <v/>
      </c>
      <c r="C897" s="33" t="str">
        <f t="shared" si="86"/>
        <v/>
      </c>
      <c r="D897" s="34"/>
      <c r="E897" s="33" t="str">
        <f t="shared" si="87"/>
        <v/>
      </c>
      <c r="F897" s="33" t="str">
        <f t="shared" si="88"/>
        <v/>
      </c>
      <c r="G897" s="35"/>
      <c r="H897" s="35"/>
      <c r="I897" s="33"/>
      <c r="J897" s="33" t="str">
        <f t="shared" si="89"/>
        <v/>
      </c>
      <c r="K897" s="36"/>
      <c r="L897" s="37"/>
      <c r="M897" s="37"/>
      <c r="N897" s="37"/>
      <c r="O897" s="37"/>
      <c r="P897" s="37"/>
      <c r="Q897" s="37"/>
      <c r="R897" s="37"/>
      <c r="S897" s="37"/>
      <c r="T897" s="38"/>
      <c r="U897" s="40"/>
      <c r="V897" s="40"/>
      <c r="W897" s="40"/>
      <c r="X897" s="41"/>
      <c r="Y897" s="37"/>
      <c r="Z897" s="37"/>
      <c r="AA897" s="37"/>
      <c r="AB897" s="37"/>
      <c r="AC897" s="37"/>
      <c r="AD897" s="40"/>
      <c r="AE897" s="40"/>
      <c r="AF897" s="40"/>
      <c r="AG897" s="42"/>
      <c r="AH897" s="36"/>
      <c r="AI897" s="36"/>
    </row>
    <row r="898" spans="1:35" x14ac:dyDescent="0.3">
      <c r="A898" s="32" t="str">
        <f t="shared" si="84"/>
        <v/>
      </c>
      <c r="B898" s="33" t="str">
        <f t="shared" si="85"/>
        <v/>
      </c>
      <c r="C898" s="33" t="str">
        <f t="shared" si="86"/>
        <v/>
      </c>
      <c r="D898" s="34"/>
      <c r="E898" s="33" t="str">
        <f t="shared" si="87"/>
        <v/>
      </c>
      <c r="F898" s="33" t="str">
        <f t="shared" si="88"/>
        <v/>
      </c>
      <c r="G898" s="35"/>
      <c r="H898" s="35"/>
      <c r="I898" s="33"/>
      <c r="J898" s="33" t="str">
        <f t="shared" si="89"/>
        <v/>
      </c>
      <c r="K898" s="36"/>
      <c r="L898" s="37"/>
      <c r="M898" s="37"/>
      <c r="N898" s="37"/>
      <c r="O898" s="37"/>
      <c r="P898" s="37"/>
      <c r="Q898" s="37"/>
      <c r="R898" s="37"/>
      <c r="S898" s="37"/>
      <c r="T898" s="38"/>
      <c r="U898" s="40"/>
      <c r="V898" s="40"/>
      <c r="W898" s="40"/>
      <c r="X898" s="41"/>
      <c r="Y898" s="37"/>
      <c r="Z898" s="37"/>
      <c r="AA898" s="37"/>
      <c r="AB898" s="37"/>
      <c r="AC898" s="37"/>
      <c r="AD898" s="40"/>
      <c r="AE898" s="40"/>
      <c r="AF898" s="40"/>
      <c r="AG898" s="42"/>
      <c r="AH898" s="36"/>
      <c r="AI898" s="36"/>
    </row>
    <row r="899" spans="1:35" x14ac:dyDescent="0.3">
      <c r="A899" s="32" t="str">
        <f t="shared" si="84"/>
        <v/>
      </c>
      <c r="B899" s="33" t="str">
        <f t="shared" si="85"/>
        <v/>
      </c>
      <c r="C899" s="33" t="str">
        <f t="shared" si="86"/>
        <v/>
      </c>
      <c r="D899" s="34"/>
      <c r="E899" s="33" t="str">
        <f t="shared" si="87"/>
        <v/>
      </c>
      <c r="F899" s="33" t="str">
        <f t="shared" si="88"/>
        <v/>
      </c>
      <c r="G899" s="35"/>
      <c r="H899" s="35"/>
      <c r="I899" s="33"/>
      <c r="J899" s="33" t="str">
        <f t="shared" si="89"/>
        <v/>
      </c>
      <c r="K899" s="36"/>
      <c r="L899" s="37"/>
      <c r="M899" s="37"/>
      <c r="N899" s="37"/>
      <c r="O899" s="37"/>
      <c r="P899" s="37"/>
      <c r="Q899" s="37"/>
      <c r="R899" s="37"/>
      <c r="S899" s="37"/>
      <c r="T899" s="38"/>
      <c r="U899" s="40"/>
      <c r="V899" s="40"/>
      <c r="W899" s="40"/>
      <c r="X899" s="41"/>
      <c r="Y899" s="37"/>
      <c r="Z899" s="37"/>
      <c r="AA899" s="37"/>
      <c r="AB899" s="37"/>
      <c r="AC899" s="37"/>
      <c r="AD899" s="40"/>
      <c r="AE899" s="40"/>
      <c r="AF899" s="40"/>
      <c r="AG899" s="42"/>
      <c r="AH899" s="36"/>
      <c r="AI899" s="36"/>
    </row>
    <row r="900" spans="1:35" x14ac:dyDescent="0.3">
      <c r="A900" s="32" t="str">
        <f t="shared" si="84"/>
        <v/>
      </c>
      <c r="B900" s="33" t="str">
        <f t="shared" si="85"/>
        <v/>
      </c>
      <c r="C900" s="33" t="str">
        <f t="shared" si="86"/>
        <v/>
      </c>
      <c r="D900" s="34"/>
      <c r="E900" s="33" t="str">
        <f t="shared" si="87"/>
        <v/>
      </c>
      <c r="F900" s="33" t="str">
        <f t="shared" si="88"/>
        <v/>
      </c>
      <c r="G900" s="35"/>
      <c r="H900" s="35"/>
      <c r="I900" s="33"/>
      <c r="J900" s="33" t="str">
        <f t="shared" si="89"/>
        <v/>
      </c>
      <c r="K900" s="36"/>
      <c r="L900" s="37"/>
      <c r="M900" s="37"/>
      <c r="N900" s="37"/>
      <c r="O900" s="37"/>
      <c r="P900" s="37"/>
      <c r="Q900" s="37"/>
      <c r="R900" s="37"/>
      <c r="S900" s="37"/>
      <c r="T900" s="38"/>
      <c r="U900" s="40"/>
      <c r="V900" s="40"/>
      <c r="W900" s="40"/>
      <c r="X900" s="41"/>
      <c r="Y900" s="37"/>
      <c r="Z900" s="37"/>
      <c r="AA900" s="37"/>
      <c r="AB900" s="37"/>
      <c r="AC900" s="37"/>
      <c r="AD900" s="40"/>
      <c r="AE900" s="40"/>
      <c r="AF900" s="40"/>
      <c r="AG900" s="42"/>
      <c r="AH900" s="36"/>
      <c r="AI900" s="36"/>
    </row>
    <row r="901" spans="1:35" x14ac:dyDescent="0.3">
      <c r="A901" s="32" t="str">
        <f t="shared" si="84"/>
        <v/>
      </c>
      <c r="B901" s="33" t="str">
        <f t="shared" si="85"/>
        <v/>
      </c>
      <c r="C901" s="33" t="str">
        <f t="shared" si="86"/>
        <v/>
      </c>
      <c r="D901" s="34"/>
      <c r="E901" s="33" t="str">
        <f t="shared" si="87"/>
        <v/>
      </c>
      <c r="F901" s="33" t="str">
        <f t="shared" si="88"/>
        <v/>
      </c>
      <c r="G901" s="35"/>
      <c r="H901" s="35"/>
      <c r="I901" s="33"/>
      <c r="J901" s="33" t="str">
        <f t="shared" si="89"/>
        <v/>
      </c>
      <c r="K901" s="36"/>
      <c r="L901" s="37"/>
      <c r="M901" s="37"/>
      <c r="N901" s="37"/>
      <c r="O901" s="37"/>
      <c r="P901" s="37"/>
      <c r="Q901" s="37"/>
      <c r="R901" s="37"/>
      <c r="S901" s="37"/>
      <c r="T901" s="38"/>
      <c r="U901" s="40"/>
      <c r="V901" s="40"/>
      <c r="W901" s="40"/>
      <c r="X901" s="41"/>
      <c r="Y901" s="37"/>
      <c r="Z901" s="37"/>
      <c r="AA901" s="37"/>
      <c r="AB901" s="37"/>
      <c r="AC901" s="37"/>
      <c r="AD901" s="40"/>
      <c r="AE901" s="40"/>
      <c r="AF901" s="40"/>
      <c r="AG901" s="42"/>
      <c r="AH901" s="36"/>
      <c r="AI901" s="36"/>
    </row>
    <row r="902" spans="1:35" x14ac:dyDescent="0.3">
      <c r="A902" s="32" t="str">
        <f t="shared" si="84"/>
        <v/>
      </c>
      <c r="B902" s="33" t="str">
        <f t="shared" si="85"/>
        <v/>
      </c>
      <c r="C902" s="33" t="str">
        <f t="shared" si="86"/>
        <v/>
      </c>
      <c r="D902" s="34"/>
      <c r="E902" s="33" t="str">
        <f t="shared" si="87"/>
        <v/>
      </c>
      <c r="F902" s="33" t="str">
        <f t="shared" si="88"/>
        <v/>
      </c>
      <c r="G902" s="35"/>
      <c r="H902" s="35"/>
      <c r="I902" s="33"/>
      <c r="J902" s="33" t="str">
        <f t="shared" si="89"/>
        <v/>
      </c>
      <c r="K902" s="36"/>
      <c r="L902" s="37"/>
      <c r="M902" s="37"/>
      <c r="N902" s="37"/>
      <c r="O902" s="37"/>
      <c r="P902" s="37"/>
      <c r="Q902" s="37"/>
      <c r="R902" s="37"/>
      <c r="S902" s="37"/>
      <c r="T902" s="38"/>
      <c r="U902" s="40"/>
      <c r="V902" s="40"/>
      <c r="W902" s="40"/>
      <c r="X902" s="41"/>
      <c r="Y902" s="37"/>
      <c r="Z902" s="37"/>
      <c r="AA902" s="37"/>
      <c r="AB902" s="37"/>
      <c r="AC902" s="37"/>
      <c r="AD902" s="40"/>
      <c r="AE902" s="40"/>
      <c r="AF902" s="40"/>
      <c r="AG902" s="42"/>
      <c r="AH902" s="36"/>
      <c r="AI902" s="36"/>
    </row>
    <row r="903" spans="1:35" x14ac:dyDescent="0.3">
      <c r="A903" s="32" t="str">
        <f t="shared" si="84"/>
        <v/>
      </c>
      <c r="B903" s="33" t="str">
        <f t="shared" si="85"/>
        <v/>
      </c>
      <c r="C903" s="33" t="str">
        <f t="shared" si="86"/>
        <v/>
      </c>
      <c r="D903" s="34"/>
      <c r="E903" s="33" t="str">
        <f t="shared" si="87"/>
        <v/>
      </c>
      <c r="F903" s="33" t="str">
        <f t="shared" si="88"/>
        <v/>
      </c>
      <c r="G903" s="35"/>
      <c r="H903" s="35"/>
      <c r="I903" s="33"/>
      <c r="J903" s="33" t="str">
        <f t="shared" si="89"/>
        <v/>
      </c>
      <c r="K903" s="36"/>
      <c r="L903" s="37"/>
      <c r="M903" s="37"/>
      <c r="N903" s="37"/>
      <c r="O903" s="37"/>
      <c r="P903" s="37"/>
      <c r="Q903" s="37"/>
      <c r="R903" s="37"/>
      <c r="S903" s="37"/>
      <c r="T903" s="38"/>
      <c r="U903" s="40"/>
      <c r="V903" s="40"/>
      <c r="W903" s="40"/>
      <c r="X903" s="41"/>
      <c r="Y903" s="37"/>
      <c r="Z903" s="37"/>
      <c r="AA903" s="37"/>
      <c r="AB903" s="37"/>
      <c r="AC903" s="37"/>
      <c r="AD903" s="40"/>
      <c r="AE903" s="40"/>
      <c r="AF903" s="40"/>
      <c r="AG903" s="42"/>
      <c r="AH903" s="36"/>
      <c r="AI903" s="36"/>
    </row>
    <row r="904" spans="1:35" x14ac:dyDescent="0.3">
      <c r="A904" s="32" t="str">
        <f t="shared" si="84"/>
        <v/>
      </c>
      <c r="B904" s="33" t="str">
        <f t="shared" si="85"/>
        <v/>
      </c>
      <c r="C904" s="33" t="str">
        <f t="shared" si="86"/>
        <v/>
      </c>
      <c r="D904" s="34"/>
      <c r="E904" s="33" t="str">
        <f t="shared" si="87"/>
        <v/>
      </c>
      <c r="F904" s="33" t="str">
        <f t="shared" si="88"/>
        <v/>
      </c>
      <c r="G904" s="35"/>
      <c r="H904" s="35"/>
      <c r="I904" s="33"/>
      <c r="J904" s="33" t="str">
        <f t="shared" si="89"/>
        <v/>
      </c>
      <c r="K904" s="36"/>
      <c r="L904" s="37"/>
      <c r="M904" s="37"/>
      <c r="N904" s="37"/>
      <c r="O904" s="37"/>
      <c r="P904" s="37"/>
      <c r="Q904" s="37"/>
      <c r="R904" s="37"/>
      <c r="S904" s="37"/>
      <c r="T904" s="38"/>
      <c r="U904" s="40"/>
      <c r="V904" s="40"/>
      <c r="W904" s="40"/>
      <c r="X904" s="41"/>
      <c r="Y904" s="37"/>
      <c r="Z904" s="37"/>
      <c r="AA904" s="37"/>
      <c r="AB904" s="37"/>
      <c r="AC904" s="37"/>
      <c r="AD904" s="40"/>
      <c r="AE904" s="40"/>
      <c r="AF904" s="40"/>
      <c r="AG904" s="42"/>
      <c r="AH904" s="36"/>
      <c r="AI904" s="36"/>
    </row>
    <row r="905" spans="1:35" x14ac:dyDescent="0.3">
      <c r="A905" s="32" t="str">
        <f t="shared" si="84"/>
        <v/>
      </c>
      <c r="B905" s="33" t="str">
        <f t="shared" si="85"/>
        <v/>
      </c>
      <c r="C905" s="33" t="str">
        <f t="shared" si="86"/>
        <v/>
      </c>
      <c r="D905" s="34"/>
      <c r="E905" s="33" t="str">
        <f t="shared" si="87"/>
        <v/>
      </c>
      <c r="F905" s="33" t="str">
        <f t="shared" si="88"/>
        <v/>
      </c>
      <c r="G905" s="35"/>
      <c r="H905" s="35"/>
      <c r="I905" s="33"/>
      <c r="J905" s="33" t="str">
        <f t="shared" si="89"/>
        <v/>
      </c>
      <c r="K905" s="36"/>
      <c r="L905" s="37"/>
      <c r="M905" s="37"/>
      <c r="N905" s="37"/>
      <c r="O905" s="37"/>
      <c r="P905" s="37"/>
      <c r="Q905" s="37"/>
      <c r="R905" s="37"/>
      <c r="S905" s="37"/>
      <c r="T905" s="38"/>
      <c r="U905" s="40"/>
      <c r="V905" s="40"/>
      <c r="W905" s="40"/>
      <c r="X905" s="41"/>
      <c r="Y905" s="37"/>
      <c r="Z905" s="37"/>
      <c r="AA905" s="37"/>
      <c r="AB905" s="37"/>
      <c r="AC905" s="37"/>
      <c r="AD905" s="40"/>
      <c r="AE905" s="40"/>
      <c r="AF905" s="40"/>
      <c r="AG905" s="42"/>
      <c r="AH905" s="36"/>
      <c r="AI905" s="36"/>
    </row>
    <row r="906" spans="1:35" x14ac:dyDescent="0.3">
      <c r="A906" s="32" t="str">
        <f t="shared" si="84"/>
        <v/>
      </c>
      <c r="B906" s="33" t="str">
        <f t="shared" si="85"/>
        <v/>
      </c>
      <c r="C906" s="33" t="str">
        <f t="shared" si="86"/>
        <v/>
      </c>
      <c r="D906" s="34"/>
      <c r="E906" s="33" t="str">
        <f t="shared" si="87"/>
        <v/>
      </c>
      <c r="F906" s="33" t="str">
        <f t="shared" si="88"/>
        <v/>
      </c>
      <c r="G906" s="35"/>
      <c r="H906" s="35"/>
      <c r="I906" s="33"/>
      <c r="J906" s="33" t="str">
        <f t="shared" si="89"/>
        <v/>
      </c>
      <c r="K906" s="36"/>
      <c r="L906" s="37"/>
      <c r="M906" s="37"/>
      <c r="N906" s="37"/>
      <c r="O906" s="37"/>
      <c r="P906" s="37"/>
      <c r="Q906" s="37"/>
      <c r="R906" s="37"/>
      <c r="S906" s="37"/>
      <c r="T906" s="38"/>
      <c r="U906" s="40"/>
      <c r="V906" s="40"/>
      <c r="W906" s="40"/>
      <c r="X906" s="41"/>
      <c r="Y906" s="37"/>
      <c r="Z906" s="37"/>
      <c r="AA906" s="37"/>
      <c r="AB906" s="37"/>
      <c r="AC906" s="37"/>
      <c r="AD906" s="40"/>
      <c r="AE906" s="40"/>
      <c r="AF906" s="40"/>
      <c r="AG906" s="42"/>
      <c r="AH906" s="36"/>
      <c r="AI906" s="36"/>
    </row>
    <row r="907" spans="1:35" x14ac:dyDescent="0.3">
      <c r="A907" s="32" t="str">
        <f t="shared" si="84"/>
        <v/>
      </c>
      <c r="B907" s="33" t="str">
        <f t="shared" si="85"/>
        <v/>
      </c>
      <c r="C907" s="33" t="str">
        <f t="shared" si="86"/>
        <v/>
      </c>
      <c r="D907" s="34"/>
      <c r="E907" s="33" t="str">
        <f t="shared" si="87"/>
        <v/>
      </c>
      <c r="F907" s="33" t="str">
        <f t="shared" si="88"/>
        <v/>
      </c>
      <c r="G907" s="35"/>
      <c r="H907" s="35"/>
      <c r="I907" s="33"/>
      <c r="J907" s="33" t="str">
        <f t="shared" si="89"/>
        <v/>
      </c>
      <c r="K907" s="36"/>
      <c r="L907" s="37"/>
      <c r="M907" s="37"/>
      <c r="N907" s="37"/>
      <c r="O907" s="37"/>
      <c r="P907" s="37"/>
      <c r="Q907" s="37"/>
      <c r="R907" s="37"/>
      <c r="S907" s="37"/>
      <c r="T907" s="38"/>
      <c r="U907" s="40"/>
      <c r="V907" s="40"/>
      <c r="W907" s="40"/>
      <c r="X907" s="41"/>
      <c r="Y907" s="37"/>
      <c r="Z907" s="37"/>
      <c r="AA907" s="37"/>
      <c r="AB907" s="37"/>
      <c r="AC907" s="37"/>
      <c r="AD907" s="40"/>
      <c r="AE907" s="40"/>
      <c r="AF907" s="40"/>
      <c r="AG907" s="42"/>
      <c r="AH907" s="36"/>
      <c r="AI907" s="36"/>
    </row>
    <row r="908" spans="1:35" x14ac:dyDescent="0.3">
      <c r="A908" s="32" t="str">
        <f t="shared" si="84"/>
        <v/>
      </c>
      <c r="B908" s="33" t="str">
        <f t="shared" si="85"/>
        <v/>
      </c>
      <c r="C908" s="33" t="str">
        <f t="shared" si="86"/>
        <v/>
      </c>
      <c r="D908" s="34"/>
      <c r="E908" s="33" t="str">
        <f t="shared" si="87"/>
        <v/>
      </c>
      <c r="F908" s="33" t="str">
        <f t="shared" si="88"/>
        <v/>
      </c>
      <c r="G908" s="35"/>
      <c r="H908" s="35"/>
      <c r="I908" s="33"/>
      <c r="J908" s="33" t="str">
        <f t="shared" si="89"/>
        <v/>
      </c>
      <c r="K908" s="36"/>
      <c r="L908" s="37"/>
      <c r="M908" s="37"/>
      <c r="N908" s="37"/>
      <c r="O908" s="37"/>
      <c r="P908" s="37"/>
      <c r="Q908" s="37"/>
      <c r="R908" s="37"/>
      <c r="S908" s="37"/>
      <c r="T908" s="38"/>
      <c r="U908" s="40"/>
      <c r="V908" s="40"/>
      <c r="W908" s="40"/>
      <c r="X908" s="41"/>
      <c r="Y908" s="37"/>
      <c r="Z908" s="37"/>
      <c r="AA908" s="37"/>
      <c r="AB908" s="37"/>
      <c r="AC908" s="37"/>
      <c r="AD908" s="40"/>
      <c r="AE908" s="40"/>
      <c r="AF908" s="40"/>
      <c r="AG908" s="42"/>
      <c r="AH908" s="36"/>
      <c r="AI908" s="36"/>
    </row>
    <row r="909" spans="1:35" x14ac:dyDescent="0.3">
      <c r="A909" s="32" t="str">
        <f t="shared" si="84"/>
        <v/>
      </c>
      <c r="B909" s="33" t="str">
        <f t="shared" si="85"/>
        <v/>
      </c>
      <c r="C909" s="33" t="str">
        <f t="shared" si="86"/>
        <v/>
      </c>
      <c r="D909" s="34"/>
      <c r="E909" s="33" t="str">
        <f t="shared" si="87"/>
        <v/>
      </c>
      <c r="F909" s="33" t="str">
        <f t="shared" si="88"/>
        <v/>
      </c>
      <c r="G909" s="35"/>
      <c r="H909" s="35"/>
      <c r="I909" s="33"/>
      <c r="J909" s="33" t="str">
        <f t="shared" si="89"/>
        <v/>
      </c>
      <c r="K909" s="36"/>
      <c r="L909" s="37"/>
      <c r="M909" s="37"/>
      <c r="N909" s="37"/>
      <c r="O909" s="37"/>
      <c r="P909" s="37"/>
      <c r="Q909" s="37"/>
      <c r="R909" s="37"/>
      <c r="S909" s="37"/>
      <c r="T909" s="38"/>
      <c r="U909" s="40"/>
      <c r="V909" s="40"/>
      <c r="W909" s="40"/>
      <c r="X909" s="41"/>
      <c r="Y909" s="37"/>
      <c r="Z909" s="37"/>
      <c r="AA909" s="37"/>
      <c r="AB909" s="37"/>
      <c r="AC909" s="37"/>
      <c r="AD909" s="40"/>
      <c r="AE909" s="40"/>
      <c r="AF909" s="40"/>
      <c r="AG909" s="42"/>
      <c r="AH909" s="36"/>
      <c r="AI909" s="36"/>
    </row>
    <row r="910" spans="1:35" x14ac:dyDescent="0.3">
      <c r="A910" s="32" t="str">
        <f t="shared" si="84"/>
        <v/>
      </c>
      <c r="B910" s="33" t="str">
        <f t="shared" si="85"/>
        <v/>
      </c>
      <c r="C910" s="33" t="str">
        <f t="shared" si="86"/>
        <v/>
      </c>
      <c r="D910" s="34"/>
      <c r="E910" s="33" t="str">
        <f t="shared" si="87"/>
        <v/>
      </c>
      <c r="F910" s="33" t="str">
        <f t="shared" si="88"/>
        <v/>
      </c>
      <c r="G910" s="35"/>
      <c r="H910" s="35"/>
      <c r="I910" s="33"/>
      <c r="J910" s="33" t="str">
        <f t="shared" si="89"/>
        <v/>
      </c>
      <c r="K910" s="36"/>
      <c r="L910" s="37"/>
      <c r="M910" s="37"/>
      <c r="N910" s="37"/>
      <c r="O910" s="37"/>
      <c r="P910" s="37"/>
      <c r="Q910" s="37"/>
      <c r="R910" s="37"/>
      <c r="S910" s="37"/>
      <c r="T910" s="38"/>
      <c r="U910" s="40"/>
      <c r="V910" s="40"/>
      <c r="W910" s="40"/>
      <c r="X910" s="41"/>
      <c r="Y910" s="37"/>
      <c r="Z910" s="37"/>
      <c r="AA910" s="37"/>
      <c r="AB910" s="37"/>
      <c r="AC910" s="37"/>
      <c r="AD910" s="40"/>
      <c r="AE910" s="40"/>
      <c r="AF910" s="40"/>
      <c r="AG910" s="42"/>
      <c r="AH910" s="36"/>
      <c r="AI910" s="36"/>
    </row>
    <row r="911" spans="1:35" x14ac:dyDescent="0.3">
      <c r="A911" s="32" t="str">
        <f t="shared" si="84"/>
        <v/>
      </c>
      <c r="B911" s="33" t="str">
        <f t="shared" si="85"/>
        <v/>
      </c>
      <c r="C911" s="33" t="str">
        <f t="shared" si="86"/>
        <v/>
      </c>
      <c r="D911" s="34"/>
      <c r="E911" s="33" t="str">
        <f t="shared" si="87"/>
        <v/>
      </c>
      <c r="F911" s="33" t="str">
        <f t="shared" si="88"/>
        <v/>
      </c>
      <c r="G911" s="35"/>
      <c r="H911" s="35"/>
      <c r="I911" s="33"/>
      <c r="J911" s="33" t="str">
        <f t="shared" si="89"/>
        <v/>
      </c>
      <c r="K911" s="36"/>
      <c r="L911" s="37"/>
      <c r="M911" s="37"/>
      <c r="N911" s="37"/>
      <c r="O911" s="37"/>
      <c r="P911" s="37"/>
      <c r="Q911" s="37"/>
      <c r="R911" s="37"/>
      <c r="S911" s="37"/>
      <c r="T911" s="38"/>
      <c r="U911" s="40"/>
      <c r="V911" s="40"/>
      <c r="W911" s="40"/>
      <c r="X911" s="41"/>
      <c r="Y911" s="37"/>
      <c r="Z911" s="37"/>
      <c r="AA911" s="37"/>
      <c r="AB911" s="37"/>
      <c r="AC911" s="37"/>
      <c r="AD911" s="40"/>
      <c r="AE911" s="40"/>
      <c r="AF911" s="40"/>
      <c r="AG911" s="42"/>
      <c r="AH911" s="36"/>
      <c r="AI911" s="36"/>
    </row>
    <row r="912" spans="1:35" x14ac:dyDescent="0.3">
      <c r="A912" s="32" t="str">
        <f t="shared" si="84"/>
        <v/>
      </c>
      <c r="B912" s="33" t="str">
        <f t="shared" si="85"/>
        <v/>
      </c>
      <c r="C912" s="33" t="str">
        <f t="shared" si="86"/>
        <v/>
      </c>
      <c r="D912" s="34"/>
      <c r="E912" s="33" t="str">
        <f t="shared" si="87"/>
        <v/>
      </c>
      <c r="F912" s="33" t="str">
        <f t="shared" si="88"/>
        <v/>
      </c>
      <c r="G912" s="35"/>
      <c r="H912" s="35"/>
      <c r="I912" s="33"/>
      <c r="J912" s="33" t="str">
        <f t="shared" si="89"/>
        <v/>
      </c>
      <c r="K912" s="36"/>
      <c r="L912" s="37"/>
      <c r="M912" s="37"/>
      <c r="N912" s="37"/>
      <c r="O912" s="37"/>
      <c r="P912" s="37"/>
      <c r="Q912" s="37"/>
      <c r="R912" s="37"/>
      <c r="S912" s="37"/>
      <c r="T912" s="38"/>
      <c r="U912" s="40"/>
      <c r="V912" s="40"/>
      <c r="W912" s="40"/>
      <c r="X912" s="41"/>
      <c r="Y912" s="37"/>
      <c r="Z912" s="37"/>
      <c r="AA912" s="37"/>
      <c r="AB912" s="37"/>
      <c r="AC912" s="37"/>
      <c r="AD912" s="40"/>
      <c r="AE912" s="40"/>
      <c r="AF912" s="40"/>
      <c r="AG912" s="42"/>
      <c r="AH912" s="36"/>
      <c r="AI912" s="36"/>
    </row>
    <row r="913" spans="1:35" x14ac:dyDescent="0.3">
      <c r="A913" s="32" t="str">
        <f t="shared" ref="A913:A976" si="90">IF($K913="", "", ROW()-15)</f>
        <v/>
      </c>
      <c r="B913" s="33" t="str">
        <f t="shared" ref="B913:B976" si="91">IFERROR(IF(ISNUMBER(SEARCH("Q", $K913)), "Q", MID(RIGHT($J913, 4), 1, 1)), "")</f>
        <v/>
      </c>
      <c r="C913" s="33" t="str">
        <f t="shared" ref="C913:C976" si="92">IFERROR(IF(ISNUMBER(SEARCH("Q", $K913)), LEFT($K913, LEN($K913)-15), LEFT($K913, LEN($K913)-8)), "")</f>
        <v/>
      </c>
      <c r="D913" s="34"/>
      <c r="E913" s="33" t="str">
        <f t="shared" ref="E913:E976" si="93">IFERROR(IF($F913="", "", IF($F913="01", "최초", "추가")), " ")</f>
        <v/>
      </c>
      <c r="F913" s="33" t="str">
        <f t="shared" ref="F913:F976" si="94">IFERROR(IF(ISNUMBER(SEARCH("Q", $K913)), MID(RIGHT($K913, 9), 1, 2), RIGHT($K913, 2)), "")</f>
        <v/>
      </c>
      <c r="G913" s="35"/>
      <c r="H913" s="35"/>
      <c r="I913" s="33"/>
      <c r="J913" s="33" t="str">
        <f t="shared" ref="J913:J976" si="95">IFERROR(IF(ISNUMBER(SEARCH("Q", $K913)), LEFT($K913, LEN($K913)-10), LEFT($K913, LEN($K913)-3)), "")</f>
        <v/>
      </c>
      <c r="K913" s="36"/>
      <c r="L913" s="37"/>
      <c r="M913" s="37"/>
      <c r="N913" s="37"/>
      <c r="O913" s="37"/>
      <c r="P913" s="37"/>
      <c r="Q913" s="37"/>
      <c r="R913" s="37"/>
      <c r="S913" s="37"/>
      <c r="T913" s="38"/>
      <c r="U913" s="40"/>
      <c r="V913" s="40"/>
      <c r="W913" s="40"/>
      <c r="X913" s="41"/>
      <c r="Y913" s="37"/>
      <c r="Z913" s="37"/>
      <c r="AA913" s="37"/>
      <c r="AB913" s="37"/>
      <c r="AC913" s="37"/>
      <c r="AD913" s="40"/>
      <c r="AE913" s="40"/>
      <c r="AF913" s="40"/>
      <c r="AG913" s="42"/>
      <c r="AH913" s="36"/>
      <c r="AI913" s="36"/>
    </row>
    <row r="914" spans="1:35" x14ac:dyDescent="0.3">
      <c r="A914" s="32" t="str">
        <f t="shared" si="90"/>
        <v/>
      </c>
      <c r="B914" s="33" t="str">
        <f t="shared" si="91"/>
        <v/>
      </c>
      <c r="C914" s="33" t="str">
        <f t="shared" si="92"/>
        <v/>
      </c>
      <c r="D914" s="34"/>
      <c r="E914" s="33" t="str">
        <f t="shared" si="93"/>
        <v/>
      </c>
      <c r="F914" s="33" t="str">
        <f t="shared" si="94"/>
        <v/>
      </c>
      <c r="G914" s="35"/>
      <c r="H914" s="35"/>
      <c r="I914" s="33"/>
      <c r="J914" s="33" t="str">
        <f t="shared" si="95"/>
        <v/>
      </c>
      <c r="K914" s="36"/>
      <c r="L914" s="37"/>
      <c r="M914" s="37"/>
      <c r="N914" s="37"/>
      <c r="O914" s="37"/>
      <c r="P914" s="37"/>
      <c r="Q914" s="37"/>
      <c r="R914" s="37"/>
      <c r="S914" s="37"/>
      <c r="T914" s="38"/>
      <c r="U914" s="40"/>
      <c r="V914" s="40"/>
      <c r="W914" s="40"/>
      <c r="X914" s="41"/>
      <c r="Y914" s="37"/>
      <c r="Z914" s="37"/>
      <c r="AA914" s="37"/>
      <c r="AB914" s="37"/>
      <c r="AC914" s="37"/>
      <c r="AD914" s="40"/>
      <c r="AE914" s="40"/>
      <c r="AF914" s="40"/>
      <c r="AG914" s="42"/>
      <c r="AH914" s="36"/>
      <c r="AI914" s="36"/>
    </row>
    <row r="915" spans="1:35" x14ac:dyDescent="0.3">
      <c r="A915" s="32" t="str">
        <f t="shared" si="90"/>
        <v/>
      </c>
      <c r="B915" s="33" t="str">
        <f t="shared" si="91"/>
        <v/>
      </c>
      <c r="C915" s="33" t="str">
        <f t="shared" si="92"/>
        <v/>
      </c>
      <c r="D915" s="34"/>
      <c r="E915" s="33" t="str">
        <f t="shared" si="93"/>
        <v/>
      </c>
      <c r="F915" s="33" t="str">
        <f t="shared" si="94"/>
        <v/>
      </c>
      <c r="G915" s="35"/>
      <c r="H915" s="35"/>
      <c r="I915" s="33"/>
      <c r="J915" s="33" t="str">
        <f t="shared" si="95"/>
        <v/>
      </c>
      <c r="K915" s="36"/>
      <c r="L915" s="37"/>
      <c r="M915" s="37"/>
      <c r="N915" s="37"/>
      <c r="O915" s="37"/>
      <c r="P915" s="37"/>
      <c r="Q915" s="37"/>
      <c r="R915" s="37"/>
      <c r="S915" s="37"/>
      <c r="T915" s="38"/>
      <c r="U915" s="40"/>
      <c r="V915" s="40"/>
      <c r="W915" s="40"/>
      <c r="X915" s="41"/>
      <c r="Y915" s="37"/>
      <c r="Z915" s="37"/>
      <c r="AA915" s="37"/>
      <c r="AB915" s="37"/>
      <c r="AC915" s="37"/>
      <c r="AD915" s="40"/>
      <c r="AE915" s="40"/>
      <c r="AF915" s="40"/>
      <c r="AG915" s="42"/>
      <c r="AH915" s="36"/>
      <c r="AI915" s="36"/>
    </row>
    <row r="916" spans="1:35" x14ac:dyDescent="0.3">
      <c r="A916" s="32" t="str">
        <f t="shared" si="90"/>
        <v/>
      </c>
      <c r="B916" s="33" t="str">
        <f t="shared" si="91"/>
        <v/>
      </c>
      <c r="C916" s="33" t="str">
        <f t="shared" si="92"/>
        <v/>
      </c>
      <c r="D916" s="34"/>
      <c r="E916" s="33" t="str">
        <f t="shared" si="93"/>
        <v/>
      </c>
      <c r="F916" s="33" t="str">
        <f t="shared" si="94"/>
        <v/>
      </c>
      <c r="G916" s="35"/>
      <c r="H916" s="35"/>
      <c r="I916" s="33"/>
      <c r="J916" s="33" t="str">
        <f t="shared" si="95"/>
        <v/>
      </c>
      <c r="K916" s="36"/>
      <c r="L916" s="37"/>
      <c r="M916" s="37"/>
      <c r="N916" s="37"/>
      <c r="O916" s="37"/>
      <c r="P916" s="37"/>
      <c r="Q916" s="37"/>
      <c r="R916" s="37"/>
      <c r="S916" s="37"/>
      <c r="T916" s="38"/>
      <c r="U916" s="40"/>
      <c r="V916" s="40"/>
      <c r="W916" s="40"/>
      <c r="X916" s="41"/>
      <c r="Y916" s="37"/>
      <c r="Z916" s="37"/>
      <c r="AA916" s="37"/>
      <c r="AB916" s="37"/>
      <c r="AC916" s="37"/>
      <c r="AD916" s="40"/>
      <c r="AE916" s="40"/>
      <c r="AF916" s="40"/>
      <c r="AG916" s="42"/>
      <c r="AH916" s="36"/>
      <c r="AI916" s="36"/>
    </row>
    <row r="917" spans="1:35" x14ac:dyDescent="0.3">
      <c r="A917" s="32" t="str">
        <f t="shared" si="90"/>
        <v/>
      </c>
      <c r="B917" s="33" t="str">
        <f t="shared" si="91"/>
        <v/>
      </c>
      <c r="C917" s="33" t="str">
        <f t="shared" si="92"/>
        <v/>
      </c>
      <c r="D917" s="34"/>
      <c r="E917" s="33" t="str">
        <f t="shared" si="93"/>
        <v/>
      </c>
      <c r="F917" s="33" t="str">
        <f t="shared" si="94"/>
        <v/>
      </c>
      <c r="G917" s="35"/>
      <c r="H917" s="35"/>
      <c r="I917" s="33"/>
      <c r="J917" s="33" t="str">
        <f t="shared" si="95"/>
        <v/>
      </c>
      <c r="K917" s="36"/>
      <c r="L917" s="37"/>
      <c r="M917" s="37"/>
      <c r="N917" s="37"/>
      <c r="O917" s="37"/>
      <c r="P917" s="37"/>
      <c r="Q917" s="37"/>
      <c r="R917" s="37"/>
      <c r="S917" s="37"/>
      <c r="T917" s="38"/>
      <c r="U917" s="40"/>
      <c r="V917" s="40"/>
      <c r="W917" s="40"/>
      <c r="X917" s="41"/>
      <c r="Y917" s="37"/>
      <c r="Z917" s="37"/>
      <c r="AA917" s="37"/>
      <c r="AB917" s="37"/>
      <c r="AC917" s="37"/>
      <c r="AD917" s="40"/>
      <c r="AE917" s="40"/>
      <c r="AF917" s="40"/>
      <c r="AG917" s="42"/>
      <c r="AH917" s="36"/>
      <c r="AI917" s="36"/>
    </row>
    <row r="918" spans="1:35" x14ac:dyDescent="0.3">
      <c r="A918" s="32" t="str">
        <f t="shared" si="90"/>
        <v/>
      </c>
      <c r="B918" s="33" t="str">
        <f t="shared" si="91"/>
        <v/>
      </c>
      <c r="C918" s="33" t="str">
        <f t="shared" si="92"/>
        <v/>
      </c>
      <c r="D918" s="34"/>
      <c r="E918" s="33" t="str">
        <f t="shared" si="93"/>
        <v/>
      </c>
      <c r="F918" s="33" t="str">
        <f t="shared" si="94"/>
        <v/>
      </c>
      <c r="G918" s="35"/>
      <c r="H918" s="35"/>
      <c r="I918" s="33"/>
      <c r="J918" s="33" t="str">
        <f t="shared" si="95"/>
        <v/>
      </c>
      <c r="K918" s="36"/>
      <c r="L918" s="37"/>
      <c r="M918" s="37"/>
      <c r="N918" s="37"/>
      <c r="O918" s="37"/>
      <c r="P918" s="37"/>
      <c r="Q918" s="37"/>
      <c r="R918" s="37"/>
      <c r="S918" s="37"/>
      <c r="T918" s="38"/>
      <c r="U918" s="40"/>
      <c r="V918" s="40"/>
      <c r="W918" s="40"/>
      <c r="X918" s="41"/>
      <c r="Y918" s="37"/>
      <c r="Z918" s="37"/>
      <c r="AA918" s="37"/>
      <c r="AB918" s="37"/>
      <c r="AC918" s="37"/>
      <c r="AD918" s="40"/>
      <c r="AE918" s="40"/>
      <c r="AF918" s="40"/>
      <c r="AG918" s="42"/>
      <c r="AH918" s="36"/>
      <c r="AI918" s="36"/>
    </row>
    <row r="919" spans="1:35" x14ac:dyDescent="0.3">
      <c r="A919" s="32" t="str">
        <f t="shared" si="90"/>
        <v/>
      </c>
      <c r="B919" s="33" t="str">
        <f t="shared" si="91"/>
        <v/>
      </c>
      <c r="C919" s="33" t="str">
        <f t="shared" si="92"/>
        <v/>
      </c>
      <c r="D919" s="34"/>
      <c r="E919" s="33" t="str">
        <f t="shared" si="93"/>
        <v/>
      </c>
      <c r="F919" s="33" t="str">
        <f t="shared" si="94"/>
        <v/>
      </c>
      <c r="G919" s="35"/>
      <c r="H919" s="35"/>
      <c r="I919" s="33"/>
      <c r="J919" s="33" t="str">
        <f t="shared" si="95"/>
        <v/>
      </c>
      <c r="K919" s="36"/>
      <c r="L919" s="37"/>
      <c r="M919" s="37"/>
      <c r="N919" s="37"/>
      <c r="O919" s="37"/>
      <c r="P919" s="37"/>
      <c r="Q919" s="37"/>
      <c r="R919" s="37"/>
      <c r="S919" s="37"/>
      <c r="T919" s="38"/>
      <c r="U919" s="40"/>
      <c r="V919" s="40"/>
      <c r="W919" s="40"/>
      <c r="X919" s="41"/>
      <c r="Y919" s="37"/>
      <c r="Z919" s="37"/>
      <c r="AA919" s="37"/>
      <c r="AB919" s="37"/>
      <c r="AC919" s="37"/>
      <c r="AD919" s="40"/>
      <c r="AE919" s="40"/>
      <c r="AF919" s="40"/>
      <c r="AG919" s="42"/>
      <c r="AH919" s="36"/>
      <c r="AI919" s="36"/>
    </row>
    <row r="920" spans="1:35" x14ac:dyDescent="0.3">
      <c r="A920" s="32" t="str">
        <f t="shared" si="90"/>
        <v/>
      </c>
      <c r="B920" s="33" t="str">
        <f t="shared" si="91"/>
        <v/>
      </c>
      <c r="C920" s="33" t="str">
        <f t="shared" si="92"/>
        <v/>
      </c>
      <c r="D920" s="34"/>
      <c r="E920" s="33" t="str">
        <f t="shared" si="93"/>
        <v/>
      </c>
      <c r="F920" s="33" t="str">
        <f t="shared" si="94"/>
        <v/>
      </c>
      <c r="G920" s="35"/>
      <c r="H920" s="35"/>
      <c r="I920" s="33"/>
      <c r="J920" s="33" t="str">
        <f t="shared" si="95"/>
        <v/>
      </c>
      <c r="K920" s="36"/>
      <c r="L920" s="37"/>
      <c r="M920" s="37"/>
      <c r="N920" s="37"/>
      <c r="O920" s="37"/>
      <c r="P920" s="37"/>
      <c r="Q920" s="37"/>
      <c r="R920" s="37"/>
      <c r="S920" s="37"/>
      <c r="T920" s="38"/>
      <c r="U920" s="40"/>
      <c r="V920" s="40"/>
      <c r="W920" s="40"/>
      <c r="X920" s="41"/>
      <c r="Y920" s="37"/>
      <c r="Z920" s="37"/>
      <c r="AA920" s="37"/>
      <c r="AB920" s="37"/>
      <c r="AC920" s="37"/>
      <c r="AD920" s="40"/>
      <c r="AE920" s="40"/>
      <c r="AF920" s="40"/>
      <c r="AG920" s="42"/>
      <c r="AH920" s="36"/>
      <c r="AI920" s="36"/>
    </row>
    <row r="921" spans="1:35" x14ac:dyDescent="0.3">
      <c r="A921" s="32" t="str">
        <f t="shared" si="90"/>
        <v/>
      </c>
      <c r="B921" s="33" t="str">
        <f t="shared" si="91"/>
        <v/>
      </c>
      <c r="C921" s="33" t="str">
        <f t="shared" si="92"/>
        <v/>
      </c>
      <c r="D921" s="34"/>
      <c r="E921" s="33" t="str">
        <f t="shared" si="93"/>
        <v/>
      </c>
      <c r="F921" s="33" t="str">
        <f t="shared" si="94"/>
        <v/>
      </c>
      <c r="G921" s="35"/>
      <c r="H921" s="35"/>
      <c r="I921" s="33"/>
      <c r="J921" s="33" t="str">
        <f t="shared" si="95"/>
        <v/>
      </c>
      <c r="K921" s="36"/>
      <c r="L921" s="37"/>
      <c r="M921" s="37"/>
      <c r="N921" s="37"/>
      <c r="O921" s="37"/>
      <c r="P921" s="37"/>
      <c r="Q921" s="37"/>
      <c r="R921" s="37"/>
      <c r="S921" s="37"/>
      <c r="T921" s="38"/>
      <c r="U921" s="40"/>
      <c r="V921" s="40"/>
      <c r="W921" s="40"/>
      <c r="X921" s="41"/>
      <c r="Y921" s="37"/>
      <c r="Z921" s="37"/>
      <c r="AA921" s="37"/>
      <c r="AB921" s="37"/>
      <c r="AC921" s="37"/>
      <c r="AD921" s="40"/>
      <c r="AE921" s="40"/>
      <c r="AF921" s="40"/>
      <c r="AG921" s="42"/>
      <c r="AH921" s="36"/>
      <c r="AI921" s="36"/>
    </row>
    <row r="922" spans="1:35" x14ac:dyDescent="0.3">
      <c r="A922" s="32" t="str">
        <f t="shared" si="90"/>
        <v/>
      </c>
      <c r="B922" s="33" t="str">
        <f t="shared" si="91"/>
        <v/>
      </c>
      <c r="C922" s="33" t="str">
        <f t="shared" si="92"/>
        <v/>
      </c>
      <c r="D922" s="34"/>
      <c r="E922" s="33" t="str">
        <f t="shared" si="93"/>
        <v/>
      </c>
      <c r="F922" s="33" t="str">
        <f t="shared" si="94"/>
        <v/>
      </c>
      <c r="G922" s="35"/>
      <c r="H922" s="35"/>
      <c r="I922" s="33"/>
      <c r="J922" s="33" t="str">
        <f t="shared" si="95"/>
        <v/>
      </c>
      <c r="K922" s="36"/>
      <c r="L922" s="37"/>
      <c r="M922" s="37"/>
      <c r="N922" s="37"/>
      <c r="O922" s="37"/>
      <c r="P922" s="37"/>
      <c r="Q922" s="37"/>
      <c r="R922" s="37"/>
      <c r="S922" s="37"/>
      <c r="T922" s="38"/>
      <c r="U922" s="40"/>
      <c r="V922" s="40"/>
      <c r="W922" s="40"/>
      <c r="X922" s="41"/>
      <c r="Y922" s="37"/>
      <c r="Z922" s="37"/>
      <c r="AA922" s="37"/>
      <c r="AB922" s="37"/>
      <c r="AC922" s="37"/>
      <c r="AD922" s="40"/>
      <c r="AE922" s="40"/>
      <c r="AF922" s="40"/>
      <c r="AG922" s="42"/>
      <c r="AH922" s="36"/>
      <c r="AI922" s="36"/>
    </row>
    <row r="923" spans="1:35" x14ac:dyDescent="0.3">
      <c r="A923" s="32" t="str">
        <f t="shared" si="90"/>
        <v/>
      </c>
      <c r="B923" s="33" t="str">
        <f t="shared" si="91"/>
        <v/>
      </c>
      <c r="C923" s="33" t="str">
        <f t="shared" si="92"/>
        <v/>
      </c>
      <c r="D923" s="34"/>
      <c r="E923" s="33" t="str">
        <f t="shared" si="93"/>
        <v/>
      </c>
      <c r="F923" s="33" t="str">
        <f t="shared" si="94"/>
        <v/>
      </c>
      <c r="G923" s="35"/>
      <c r="H923" s="35"/>
      <c r="I923" s="33"/>
      <c r="J923" s="33" t="str">
        <f t="shared" si="95"/>
        <v/>
      </c>
      <c r="K923" s="36"/>
      <c r="L923" s="37"/>
      <c r="M923" s="37"/>
      <c r="N923" s="37"/>
      <c r="O923" s="37"/>
      <c r="P923" s="37"/>
      <c r="Q923" s="37"/>
      <c r="R923" s="37"/>
      <c r="S923" s="37"/>
      <c r="T923" s="38"/>
      <c r="U923" s="40"/>
      <c r="V923" s="40"/>
      <c r="W923" s="40"/>
      <c r="X923" s="41"/>
      <c r="Y923" s="37"/>
      <c r="Z923" s="37"/>
      <c r="AA923" s="37"/>
      <c r="AB923" s="37"/>
      <c r="AC923" s="37"/>
      <c r="AD923" s="40"/>
      <c r="AE923" s="40"/>
      <c r="AF923" s="40"/>
      <c r="AG923" s="42"/>
      <c r="AH923" s="36"/>
      <c r="AI923" s="36"/>
    </row>
    <row r="924" spans="1:35" x14ac:dyDescent="0.3">
      <c r="A924" s="32" t="str">
        <f t="shared" si="90"/>
        <v/>
      </c>
      <c r="B924" s="33" t="str">
        <f t="shared" si="91"/>
        <v/>
      </c>
      <c r="C924" s="33" t="str">
        <f t="shared" si="92"/>
        <v/>
      </c>
      <c r="D924" s="34"/>
      <c r="E924" s="33" t="str">
        <f t="shared" si="93"/>
        <v/>
      </c>
      <c r="F924" s="33" t="str">
        <f t="shared" si="94"/>
        <v/>
      </c>
      <c r="G924" s="35"/>
      <c r="H924" s="35"/>
      <c r="I924" s="33"/>
      <c r="J924" s="33" t="str">
        <f t="shared" si="95"/>
        <v/>
      </c>
      <c r="K924" s="36"/>
      <c r="L924" s="37"/>
      <c r="M924" s="37"/>
      <c r="N924" s="37"/>
      <c r="O924" s="37"/>
      <c r="P924" s="37"/>
      <c r="Q924" s="37"/>
      <c r="R924" s="37"/>
      <c r="S924" s="37"/>
      <c r="T924" s="38"/>
      <c r="U924" s="40"/>
      <c r="V924" s="40"/>
      <c r="W924" s="40"/>
      <c r="X924" s="41"/>
      <c r="Y924" s="37"/>
      <c r="Z924" s="37"/>
      <c r="AA924" s="37"/>
      <c r="AB924" s="37"/>
      <c r="AC924" s="37"/>
      <c r="AD924" s="40"/>
      <c r="AE924" s="40"/>
      <c r="AF924" s="40"/>
      <c r="AG924" s="42"/>
      <c r="AH924" s="36"/>
      <c r="AI924" s="36"/>
    </row>
    <row r="925" spans="1:35" x14ac:dyDescent="0.3">
      <c r="A925" s="32" t="str">
        <f t="shared" si="90"/>
        <v/>
      </c>
      <c r="B925" s="33" t="str">
        <f t="shared" si="91"/>
        <v/>
      </c>
      <c r="C925" s="33" t="str">
        <f t="shared" si="92"/>
        <v/>
      </c>
      <c r="D925" s="34"/>
      <c r="E925" s="33" t="str">
        <f t="shared" si="93"/>
        <v/>
      </c>
      <c r="F925" s="33" t="str">
        <f t="shared" si="94"/>
        <v/>
      </c>
      <c r="G925" s="35"/>
      <c r="H925" s="35"/>
      <c r="I925" s="33"/>
      <c r="J925" s="33" t="str">
        <f t="shared" si="95"/>
        <v/>
      </c>
      <c r="K925" s="36"/>
      <c r="L925" s="37"/>
      <c r="M925" s="37"/>
      <c r="N925" s="37"/>
      <c r="O925" s="37"/>
      <c r="P925" s="37"/>
      <c r="Q925" s="37"/>
      <c r="R925" s="37"/>
      <c r="S925" s="37"/>
      <c r="T925" s="38"/>
      <c r="U925" s="40"/>
      <c r="V925" s="40"/>
      <c r="W925" s="40"/>
      <c r="X925" s="41"/>
      <c r="Y925" s="37"/>
      <c r="Z925" s="37"/>
      <c r="AA925" s="37"/>
      <c r="AB925" s="37"/>
      <c r="AC925" s="37"/>
      <c r="AD925" s="40"/>
      <c r="AE925" s="40"/>
      <c r="AF925" s="40"/>
      <c r="AG925" s="42"/>
      <c r="AH925" s="36"/>
      <c r="AI925" s="36"/>
    </row>
    <row r="926" spans="1:35" x14ac:dyDescent="0.3">
      <c r="A926" s="32" t="str">
        <f t="shared" si="90"/>
        <v/>
      </c>
      <c r="B926" s="33" t="str">
        <f t="shared" si="91"/>
        <v/>
      </c>
      <c r="C926" s="33" t="str">
        <f t="shared" si="92"/>
        <v/>
      </c>
      <c r="D926" s="34"/>
      <c r="E926" s="33" t="str">
        <f t="shared" si="93"/>
        <v/>
      </c>
      <c r="F926" s="33" t="str">
        <f t="shared" si="94"/>
        <v/>
      </c>
      <c r="G926" s="35"/>
      <c r="H926" s="35"/>
      <c r="I926" s="33"/>
      <c r="J926" s="33" t="str">
        <f t="shared" si="95"/>
        <v/>
      </c>
      <c r="K926" s="36"/>
      <c r="L926" s="37"/>
      <c r="M926" s="37"/>
      <c r="N926" s="37"/>
      <c r="O926" s="37"/>
      <c r="P926" s="37"/>
      <c r="Q926" s="37"/>
      <c r="R926" s="37"/>
      <c r="S926" s="37"/>
      <c r="T926" s="38"/>
      <c r="U926" s="40"/>
      <c r="V926" s="40"/>
      <c r="W926" s="40"/>
      <c r="X926" s="41"/>
      <c r="Y926" s="37"/>
      <c r="Z926" s="37"/>
      <c r="AA926" s="37"/>
      <c r="AB926" s="37"/>
      <c r="AC926" s="37"/>
      <c r="AD926" s="40"/>
      <c r="AE926" s="40"/>
      <c r="AF926" s="40"/>
      <c r="AG926" s="42"/>
      <c r="AH926" s="36"/>
      <c r="AI926" s="36"/>
    </row>
    <row r="927" spans="1:35" x14ac:dyDescent="0.3">
      <c r="A927" s="32" t="str">
        <f t="shared" si="90"/>
        <v/>
      </c>
      <c r="B927" s="33" t="str">
        <f t="shared" si="91"/>
        <v/>
      </c>
      <c r="C927" s="33" t="str">
        <f t="shared" si="92"/>
        <v/>
      </c>
      <c r="D927" s="34"/>
      <c r="E927" s="33" t="str">
        <f t="shared" si="93"/>
        <v/>
      </c>
      <c r="F927" s="33" t="str">
        <f t="shared" si="94"/>
        <v/>
      </c>
      <c r="G927" s="35"/>
      <c r="H927" s="35"/>
      <c r="I927" s="33"/>
      <c r="J927" s="33" t="str">
        <f t="shared" si="95"/>
        <v/>
      </c>
      <c r="K927" s="36"/>
      <c r="L927" s="37"/>
      <c r="M927" s="37"/>
      <c r="N927" s="37"/>
      <c r="O927" s="37"/>
      <c r="P927" s="37"/>
      <c r="Q927" s="37"/>
      <c r="R927" s="37"/>
      <c r="S927" s="37"/>
      <c r="T927" s="38"/>
      <c r="U927" s="40"/>
      <c r="V927" s="40"/>
      <c r="W927" s="40"/>
      <c r="X927" s="41"/>
      <c r="Y927" s="37"/>
      <c r="Z927" s="37"/>
      <c r="AA927" s="37"/>
      <c r="AB927" s="37"/>
      <c r="AC927" s="37"/>
      <c r="AD927" s="40"/>
      <c r="AE927" s="40"/>
      <c r="AF927" s="40"/>
      <c r="AG927" s="42"/>
      <c r="AH927" s="36"/>
      <c r="AI927" s="36"/>
    </row>
    <row r="928" spans="1:35" x14ac:dyDescent="0.3">
      <c r="A928" s="32" t="str">
        <f t="shared" si="90"/>
        <v/>
      </c>
      <c r="B928" s="33" t="str">
        <f t="shared" si="91"/>
        <v/>
      </c>
      <c r="C928" s="33" t="str">
        <f t="shared" si="92"/>
        <v/>
      </c>
      <c r="D928" s="34"/>
      <c r="E928" s="33" t="str">
        <f t="shared" si="93"/>
        <v/>
      </c>
      <c r="F928" s="33" t="str">
        <f t="shared" si="94"/>
        <v/>
      </c>
      <c r="G928" s="35"/>
      <c r="H928" s="35"/>
      <c r="I928" s="33"/>
      <c r="J928" s="33" t="str">
        <f t="shared" si="95"/>
        <v/>
      </c>
      <c r="K928" s="36"/>
      <c r="L928" s="37"/>
      <c r="M928" s="37"/>
      <c r="N928" s="37"/>
      <c r="O928" s="37"/>
      <c r="P928" s="37"/>
      <c r="Q928" s="37"/>
      <c r="R928" s="37"/>
      <c r="S928" s="37"/>
      <c r="T928" s="38"/>
      <c r="U928" s="40"/>
      <c r="V928" s="40"/>
      <c r="W928" s="40"/>
      <c r="X928" s="41"/>
      <c r="Y928" s="37"/>
      <c r="Z928" s="37"/>
      <c r="AA928" s="37"/>
      <c r="AB928" s="37"/>
      <c r="AC928" s="37"/>
      <c r="AD928" s="40"/>
      <c r="AE928" s="40"/>
      <c r="AF928" s="40"/>
      <c r="AG928" s="42"/>
      <c r="AH928" s="36"/>
      <c r="AI928" s="36"/>
    </row>
    <row r="929" spans="1:35" x14ac:dyDescent="0.3">
      <c r="A929" s="32" t="str">
        <f t="shared" si="90"/>
        <v/>
      </c>
      <c r="B929" s="33" t="str">
        <f t="shared" si="91"/>
        <v/>
      </c>
      <c r="C929" s="33" t="str">
        <f t="shared" si="92"/>
        <v/>
      </c>
      <c r="D929" s="34"/>
      <c r="E929" s="33" t="str">
        <f t="shared" si="93"/>
        <v/>
      </c>
      <c r="F929" s="33" t="str">
        <f t="shared" si="94"/>
        <v/>
      </c>
      <c r="G929" s="35"/>
      <c r="H929" s="35"/>
      <c r="I929" s="33"/>
      <c r="J929" s="33" t="str">
        <f t="shared" si="95"/>
        <v/>
      </c>
      <c r="K929" s="36"/>
      <c r="L929" s="37"/>
      <c r="M929" s="37"/>
      <c r="N929" s="37"/>
      <c r="O929" s="37"/>
      <c r="P929" s="37"/>
      <c r="Q929" s="37"/>
      <c r="R929" s="37"/>
      <c r="S929" s="37"/>
      <c r="T929" s="38"/>
      <c r="U929" s="40"/>
      <c r="V929" s="40"/>
      <c r="W929" s="40"/>
      <c r="X929" s="41"/>
      <c r="Y929" s="37"/>
      <c r="Z929" s="37"/>
      <c r="AA929" s="37"/>
      <c r="AB929" s="37"/>
      <c r="AC929" s="37"/>
      <c r="AD929" s="40"/>
      <c r="AE929" s="40"/>
      <c r="AF929" s="40"/>
      <c r="AG929" s="42"/>
      <c r="AH929" s="36"/>
      <c r="AI929" s="36"/>
    </row>
    <row r="930" spans="1:35" x14ac:dyDescent="0.3">
      <c r="A930" s="32" t="str">
        <f t="shared" si="90"/>
        <v/>
      </c>
      <c r="B930" s="33" t="str">
        <f t="shared" si="91"/>
        <v/>
      </c>
      <c r="C930" s="33" t="str">
        <f t="shared" si="92"/>
        <v/>
      </c>
      <c r="D930" s="34"/>
      <c r="E930" s="33" t="str">
        <f t="shared" si="93"/>
        <v/>
      </c>
      <c r="F930" s="33" t="str">
        <f t="shared" si="94"/>
        <v/>
      </c>
      <c r="G930" s="35"/>
      <c r="H930" s="35"/>
      <c r="I930" s="33"/>
      <c r="J930" s="33" t="str">
        <f t="shared" si="95"/>
        <v/>
      </c>
      <c r="K930" s="36"/>
      <c r="L930" s="37"/>
      <c r="M930" s="37"/>
      <c r="N930" s="37"/>
      <c r="O930" s="37"/>
      <c r="P930" s="37"/>
      <c r="Q930" s="37"/>
      <c r="R930" s="37"/>
      <c r="S930" s="37"/>
      <c r="T930" s="38"/>
      <c r="U930" s="40"/>
      <c r="V930" s="40"/>
      <c r="W930" s="40"/>
      <c r="X930" s="41"/>
      <c r="Y930" s="37"/>
      <c r="Z930" s="37"/>
      <c r="AA930" s="37"/>
      <c r="AB930" s="37"/>
      <c r="AC930" s="37"/>
      <c r="AD930" s="40"/>
      <c r="AE930" s="40"/>
      <c r="AF930" s="40"/>
      <c r="AG930" s="42"/>
      <c r="AH930" s="36"/>
      <c r="AI930" s="36"/>
    </row>
    <row r="931" spans="1:35" x14ac:dyDescent="0.3">
      <c r="A931" s="32" t="str">
        <f t="shared" si="90"/>
        <v/>
      </c>
      <c r="B931" s="33" t="str">
        <f t="shared" si="91"/>
        <v/>
      </c>
      <c r="C931" s="33" t="str">
        <f t="shared" si="92"/>
        <v/>
      </c>
      <c r="D931" s="34"/>
      <c r="E931" s="33" t="str">
        <f t="shared" si="93"/>
        <v/>
      </c>
      <c r="F931" s="33" t="str">
        <f t="shared" si="94"/>
        <v/>
      </c>
      <c r="G931" s="35"/>
      <c r="H931" s="35"/>
      <c r="I931" s="33"/>
      <c r="J931" s="33" t="str">
        <f t="shared" si="95"/>
        <v/>
      </c>
      <c r="K931" s="36"/>
      <c r="L931" s="37"/>
      <c r="M931" s="37"/>
      <c r="N931" s="37"/>
      <c r="O931" s="37"/>
      <c r="P931" s="37"/>
      <c r="Q931" s="37"/>
      <c r="R931" s="37"/>
      <c r="S931" s="37"/>
      <c r="T931" s="38"/>
      <c r="U931" s="40"/>
      <c r="V931" s="40"/>
      <c r="W931" s="40"/>
      <c r="X931" s="41"/>
      <c r="Y931" s="37"/>
      <c r="Z931" s="37"/>
      <c r="AA931" s="37"/>
      <c r="AB931" s="37"/>
      <c r="AC931" s="37"/>
      <c r="AD931" s="40"/>
      <c r="AE931" s="40"/>
      <c r="AF931" s="40"/>
      <c r="AG931" s="42"/>
      <c r="AH931" s="36"/>
      <c r="AI931" s="36"/>
    </row>
    <row r="932" spans="1:35" x14ac:dyDescent="0.3">
      <c r="A932" s="32" t="str">
        <f t="shared" si="90"/>
        <v/>
      </c>
      <c r="B932" s="33" t="str">
        <f t="shared" si="91"/>
        <v/>
      </c>
      <c r="C932" s="33" t="str">
        <f t="shared" si="92"/>
        <v/>
      </c>
      <c r="D932" s="34"/>
      <c r="E932" s="33" t="str">
        <f t="shared" si="93"/>
        <v/>
      </c>
      <c r="F932" s="33" t="str">
        <f t="shared" si="94"/>
        <v/>
      </c>
      <c r="G932" s="35"/>
      <c r="H932" s="35"/>
      <c r="I932" s="33"/>
      <c r="J932" s="33" t="str">
        <f t="shared" si="95"/>
        <v/>
      </c>
      <c r="K932" s="36"/>
      <c r="L932" s="37"/>
      <c r="M932" s="37"/>
      <c r="N932" s="37"/>
      <c r="O932" s="37"/>
      <c r="P932" s="37"/>
      <c r="Q932" s="37"/>
      <c r="R932" s="37"/>
      <c r="S932" s="37"/>
      <c r="T932" s="38"/>
      <c r="U932" s="40"/>
      <c r="V932" s="40"/>
      <c r="W932" s="40"/>
      <c r="X932" s="41"/>
      <c r="Y932" s="37"/>
      <c r="Z932" s="37"/>
      <c r="AA932" s="37"/>
      <c r="AB932" s="37"/>
      <c r="AC932" s="37"/>
      <c r="AD932" s="40"/>
      <c r="AE932" s="40"/>
      <c r="AF932" s="40"/>
      <c r="AG932" s="42"/>
      <c r="AH932" s="36"/>
      <c r="AI932" s="36"/>
    </row>
    <row r="933" spans="1:35" x14ac:dyDescent="0.3">
      <c r="A933" s="32" t="str">
        <f t="shared" si="90"/>
        <v/>
      </c>
      <c r="B933" s="33" t="str">
        <f t="shared" si="91"/>
        <v/>
      </c>
      <c r="C933" s="33" t="str">
        <f t="shared" si="92"/>
        <v/>
      </c>
      <c r="D933" s="34"/>
      <c r="E933" s="33" t="str">
        <f t="shared" si="93"/>
        <v/>
      </c>
      <c r="F933" s="33" t="str">
        <f t="shared" si="94"/>
        <v/>
      </c>
      <c r="G933" s="35"/>
      <c r="H933" s="35"/>
      <c r="I933" s="33"/>
      <c r="J933" s="33" t="str">
        <f t="shared" si="95"/>
        <v/>
      </c>
      <c r="K933" s="36"/>
      <c r="L933" s="37"/>
      <c r="M933" s="37"/>
      <c r="N933" s="37"/>
      <c r="O933" s="37"/>
      <c r="P933" s="37"/>
      <c r="Q933" s="37"/>
      <c r="R933" s="37"/>
      <c r="S933" s="37"/>
      <c r="T933" s="38"/>
      <c r="U933" s="40"/>
      <c r="V933" s="40"/>
      <c r="W933" s="40"/>
      <c r="X933" s="41"/>
      <c r="Y933" s="37"/>
      <c r="Z933" s="37"/>
      <c r="AA933" s="37"/>
      <c r="AB933" s="37"/>
      <c r="AC933" s="37"/>
      <c r="AD933" s="40"/>
      <c r="AE933" s="40"/>
      <c r="AF933" s="40"/>
      <c r="AG933" s="42"/>
      <c r="AH933" s="36"/>
      <c r="AI933" s="36"/>
    </row>
    <row r="934" spans="1:35" x14ac:dyDescent="0.3">
      <c r="A934" s="32" t="str">
        <f t="shared" si="90"/>
        <v/>
      </c>
      <c r="B934" s="33" t="str">
        <f t="shared" si="91"/>
        <v/>
      </c>
      <c r="C934" s="33" t="str">
        <f t="shared" si="92"/>
        <v/>
      </c>
      <c r="D934" s="34"/>
      <c r="E934" s="33" t="str">
        <f t="shared" si="93"/>
        <v/>
      </c>
      <c r="F934" s="33" t="str">
        <f t="shared" si="94"/>
        <v/>
      </c>
      <c r="G934" s="35"/>
      <c r="H934" s="35"/>
      <c r="I934" s="33"/>
      <c r="J934" s="33" t="str">
        <f t="shared" si="95"/>
        <v/>
      </c>
      <c r="K934" s="36"/>
      <c r="L934" s="37"/>
      <c r="M934" s="37"/>
      <c r="N934" s="37"/>
      <c r="O934" s="37"/>
      <c r="P934" s="37"/>
      <c r="Q934" s="37"/>
      <c r="R934" s="37"/>
      <c r="S934" s="37"/>
      <c r="T934" s="38"/>
      <c r="U934" s="40"/>
      <c r="V934" s="40"/>
      <c r="W934" s="40"/>
      <c r="X934" s="41"/>
      <c r="Y934" s="37"/>
      <c r="Z934" s="37"/>
      <c r="AA934" s="37"/>
      <c r="AB934" s="37"/>
      <c r="AC934" s="37"/>
      <c r="AD934" s="40"/>
      <c r="AE934" s="40"/>
      <c r="AF934" s="40"/>
      <c r="AG934" s="42"/>
      <c r="AH934" s="36"/>
      <c r="AI934" s="36"/>
    </row>
    <row r="935" spans="1:35" x14ac:dyDescent="0.3">
      <c r="A935" s="32" t="str">
        <f t="shared" si="90"/>
        <v/>
      </c>
      <c r="B935" s="33" t="str">
        <f t="shared" si="91"/>
        <v/>
      </c>
      <c r="C935" s="33" t="str">
        <f t="shared" si="92"/>
        <v/>
      </c>
      <c r="D935" s="34"/>
      <c r="E935" s="33" t="str">
        <f t="shared" si="93"/>
        <v/>
      </c>
      <c r="F935" s="33" t="str">
        <f t="shared" si="94"/>
        <v/>
      </c>
      <c r="G935" s="35"/>
      <c r="H935" s="35"/>
      <c r="I935" s="33"/>
      <c r="J935" s="33" t="str">
        <f t="shared" si="95"/>
        <v/>
      </c>
      <c r="K935" s="36"/>
      <c r="L935" s="37"/>
      <c r="M935" s="37"/>
      <c r="N935" s="37"/>
      <c r="O935" s="37"/>
      <c r="P935" s="37"/>
      <c r="Q935" s="37"/>
      <c r="R935" s="37"/>
      <c r="S935" s="37"/>
      <c r="T935" s="38"/>
      <c r="U935" s="40"/>
      <c r="V935" s="40"/>
      <c r="W935" s="40"/>
      <c r="X935" s="41"/>
      <c r="Y935" s="37"/>
      <c r="Z935" s="37"/>
      <c r="AA935" s="37"/>
      <c r="AB935" s="37"/>
      <c r="AC935" s="37"/>
      <c r="AD935" s="40"/>
      <c r="AE935" s="40"/>
      <c r="AF935" s="40"/>
      <c r="AG935" s="42"/>
      <c r="AH935" s="36"/>
      <c r="AI935" s="36"/>
    </row>
    <row r="936" spans="1:35" x14ac:dyDescent="0.3">
      <c r="A936" s="32" t="str">
        <f t="shared" si="90"/>
        <v/>
      </c>
      <c r="B936" s="33" t="str">
        <f t="shared" si="91"/>
        <v/>
      </c>
      <c r="C936" s="33" t="str">
        <f t="shared" si="92"/>
        <v/>
      </c>
      <c r="D936" s="34"/>
      <c r="E936" s="33" t="str">
        <f t="shared" si="93"/>
        <v/>
      </c>
      <c r="F936" s="33" t="str">
        <f t="shared" si="94"/>
        <v/>
      </c>
      <c r="G936" s="35"/>
      <c r="H936" s="35"/>
      <c r="I936" s="33"/>
      <c r="J936" s="33" t="str">
        <f t="shared" si="95"/>
        <v/>
      </c>
      <c r="K936" s="36"/>
      <c r="L936" s="37"/>
      <c r="M936" s="37"/>
      <c r="N936" s="37"/>
      <c r="O936" s="37"/>
      <c r="P936" s="37"/>
      <c r="Q936" s="37"/>
      <c r="R936" s="37"/>
      <c r="S936" s="37"/>
      <c r="T936" s="38"/>
      <c r="U936" s="40"/>
      <c r="V936" s="40"/>
      <c r="W936" s="40"/>
      <c r="X936" s="41"/>
      <c r="Y936" s="37"/>
      <c r="Z936" s="37"/>
      <c r="AA936" s="37"/>
      <c r="AB936" s="37"/>
      <c r="AC936" s="37"/>
      <c r="AD936" s="40"/>
      <c r="AE936" s="40"/>
      <c r="AF936" s="40"/>
      <c r="AG936" s="42"/>
      <c r="AH936" s="36"/>
      <c r="AI936" s="36"/>
    </row>
    <row r="937" spans="1:35" x14ac:dyDescent="0.3">
      <c r="A937" s="32" t="str">
        <f t="shared" si="90"/>
        <v/>
      </c>
      <c r="B937" s="33" t="str">
        <f t="shared" si="91"/>
        <v/>
      </c>
      <c r="C937" s="33" t="str">
        <f t="shared" si="92"/>
        <v/>
      </c>
      <c r="D937" s="34"/>
      <c r="E937" s="33" t="str">
        <f t="shared" si="93"/>
        <v/>
      </c>
      <c r="F937" s="33" t="str">
        <f t="shared" si="94"/>
        <v/>
      </c>
      <c r="G937" s="35"/>
      <c r="H937" s="35"/>
      <c r="I937" s="33"/>
      <c r="J937" s="33" t="str">
        <f t="shared" si="95"/>
        <v/>
      </c>
      <c r="K937" s="36"/>
      <c r="L937" s="37"/>
      <c r="M937" s="37"/>
      <c r="N937" s="37"/>
      <c r="O937" s="37"/>
      <c r="P937" s="37"/>
      <c r="Q937" s="37"/>
      <c r="R937" s="37"/>
      <c r="S937" s="37"/>
      <c r="T937" s="38"/>
      <c r="U937" s="40"/>
      <c r="V937" s="40"/>
      <c r="W937" s="40"/>
      <c r="X937" s="41"/>
      <c r="Y937" s="37"/>
      <c r="Z937" s="37"/>
      <c r="AA937" s="37"/>
      <c r="AB937" s="37"/>
      <c r="AC937" s="37"/>
      <c r="AD937" s="40"/>
      <c r="AE937" s="40"/>
      <c r="AF937" s="40"/>
      <c r="AG937" s="42"/>
      <c r="AH937" s="36"/>
      <c r="AI937" s="36"/>
    </row>
    <row r="938" spans="1:35" x14ac:dyDescent="0.3">
      <c r="A938" s="32" t="str">
        <f t="shared" si="90"/>
        <v/>
      </c>
      <c r="B938" s="33" t="str">
        <f t="shared" si="91"/>
        <v/>
      </c>
      <c r="C938" s="33" t="str">
        <f t="shared" si="92"/>
        <v/>
      </c>
      <c r="D938" s="34"/>
      <c r="E938" s="33" t="str">
        <f t="shared" si="93"/>
        <v/>
      </c>
      <c r="F938" s="33" t="str">
        <f t="shared" si="94"/>
        <v/>
      </c>
      <c r="G938" s="35"/>
      <c r="H938" s="35"/>
      <c r="I938" s="33"/>
      <c r="J938" s="33" t="str">
        <f t="shared" si="95"/>
        <v/>
      </c>
      <c r="K938" s="36"/>
      <c r="L938" s="37"/>
      <c r="M938" s="37"/>
      <c r="N938" s="37"/>
      <c r="O938" s="37"/>
      <c r="P938" s="37"/>
      <c r="Q938" s="37"/>
      <c r="R938" s="37"/>
      <c r="S938" s="37"/>
      <c r="T938" s="38"/>
      <c r="U938" s="40"/>
      <c r="V938" s="40"/>
      <c r="W938" s="40"/>
      <c r="X938" s="41"/>
      <c r="Y938" s="37"/>
      <c r="Z938" s="37"/>
      <c r="AA938" s="37"/>
      <c r="AB938" s="37"/>
      <c r="AC938" s="37"/>
      <c r="AD938" s="40"/>
      <c r="AE938" s="40"/>
      <c r="AF938" s="40"/>
      <c r="AG938" s="42"/>
      <c r="AH938" s="36"/>
      <c r="AI938" s="36"/>
    </row>
    <row r="939" spans="1:35" x14ac:dyDescent="0.3">
      <c r="A939" s="32" t="str">
        <f t="shared" si="90"/>
        <v/>
      </c>
      <c r="B939" s="33" t="str">
        <f t="shared" si="91"/>
        <v/>
      </c>
      <c r="C939" s="33" t="str">
        <f t="shared" si="92"/>
        <v/>
      </c>
      <c r="D939" s="34"/>
      <c r="E939" s="33" t="str">
        <f t="shared" si="93"/>
        <v/>
      </c>
      <c r="F939" s="33" t="str">
        <f t="shared" si="94"/>
        <v/>
      </c>
      <c r="G939" s="35"/>
      <c r="H939" s="35"/>
      <c r="I939" s="33"/>
      <c r="J939" s="33" t="str">
        <f t="shared" si="95"/>
        <v/>
      </c>
      <c r="K939" s="36"/>
      <c r="L939" s="37"/>
      <c r="M939" s="37"/>
      <c r="N939" s="37"/>
      <c r="O939" s="37"/>
      <c r="P939" s="37"/>
      <c r="Q939" s="37"/>
      <c r="R939" s="37"/>
      <c r="S939" s="37"/>
      <c r="T939" s="38"/>
      <c r="U939" s="40"/>
      <c r="V939" s="40"/>
      <c r="W939" s="40"/>
      <c r="X939" s="41"/>
      <c r="Y939" s="37"/>
      <c r="Z939" s="37"/>
      <c r="AA939" s="37"/>
      <c r="AB939" s="37"/>
      <c r="AC939" s="37"/>
      <c r="AD939" s="40"/>
      <c r="AE939" s="40"/>
      <c r="AF939" s="40"/>
      <c r="AG939" s="42"/>
      <c r="AH939" s="36"/>
      <c r="AI939" s="36"/>
    </row>
    <row r="940" spans="1:35" x14ac:dyDescent="0.3">
      <c r="A940" s="32" t="str">
        <f t="shared" si="90"/>
        <v/>
      </c>
      <c r="B940" s="33" t="str">
        <f t="shared" si="91"/>
        <v/>
      </c>
      <c r="C940" s="33" t="str">
        <f t="shared" si="92"/>
        <v/>
      </c>
      <c r="D940" s="34"/>
      <c r="E940" s="33" t="str">
        <f t="shared" si="93"/>
        <v/>
      </c>
      <c r="F940" s="33" t="str">
        <f t="shared" si="94"/>
        <v/>
      </c>
      <c r="G940" s="35"/>
      <c r="H940" s="35"/>
      <c r="I940" s="33"/>
      <c r="J940" s="33" t="str">
        <f t="shared" si="95"/>
        <v/>
      </c>
      <c r="K940" s="36"/>
      <c r="L940" s="37"/>
      <c r="M940" s="37"/>
      <c r="N940" s="37"/>
      <c r="O940" s="37"/>
      <c r="P940" s="37"/>
      <c r="Q940" s="37"/>
      <c r="R940" s="37"/>
      <c r="S940" s="37"/>
      <c r="T940" s="38"/>
      <c r="U940" s="40"/>
      <c r="V940" s="40"/>
      <c r="W940" s="40"/>
      <c r="X940" s="41"/>
      <c r="Y940" s="37"/>
      <c r="Z940" s="37"/>
      <c r="AA940" s="37"/>
      <c r="AB940" s="37"/>
      <c r="AC940" s="37"/>
      <c r="AD940" s="40"/>
      <c r="AE940" s="40"/>
      <c r="AF940" s="40"/>
      <c r="AG940" s="42"/>
      <c r="AH940" s="36"/>
      <c r="AI940" s="36"/>
    </row>
    <row r="941" spans="1:35" x14ac:dyDescent="0.3">
      <c r="A941" s="32" t="str">
        <f t="shared" si="90"/>
        <v/>
      </c>
      <c r="B941" s="33" t="str">
        <f t="shared" si="91"/>
        <v/>
      </c>
      <c r="C941" s="33" t="str">
        <f t="shared" si="92"/>
        <v/>
      </c>
      <c r="D941" s="34"/>
      <c r="E941" s="33" t="str">
        <f t="shared" si="93"/>
        <v/>
      </c>
      <c r="F941" s="33" t="str">
        <f t="shared" si="94"/>
        <v/>
      </c>
      <c r="G941" s="35"/>
      <c r="H941" s="35"/>
      <c r="I941" s="33"/>
      <c r="J941" s="33" t="str">
        <f t="shared" si="95"/>
        <v/>
      </c>
      <c r="K941" s="36"/>
      <c r="L941" s="37"/>
      <c r="M941" s="37"/>
      <c r="N941" s="37"/>
      <c r="O941" s="37"/>
      <c r="P941" s="37"/>
      <c r="Q941" s="37"/>
      <c r="R941" s="37"/>
      <c r="S941" s="37"/>
      <c r="T941" s="38"/>
      <c r="U941" s="40"/>
      <c r="V941" s="40"/>
      <c r="W941" s="40"/>
      <c r="X941" s="41"/>
      <c r="Y941" s="37"/>
      <c r="Z941" s="37"/>
      <c r="AA941" s="37"/>
      <c r="AB941" s="37"/>
      <c r="AC941" s="37"/>
      <c r="AD941" s="40"/>
      <c r="AE941" s="40"/>
      <c r="AF941" s="40"/>
      <c r="AG941" s="42"/>
      <c r="AH941" s="36"/>
      <c r="AI941" s="36"/>
    </row>
    <row r="942" spans="1:35" x14ac:dyDescent="0.3">
      <c r="A942" s="32" t="str">
        <f t="shared" si="90"/>
        <v/>
      </c>
      <c r="B942" s="33" t="str">
        <f t="shared" si="91"/>
        <v/>
      </c>
      <c r="C942" s="33" t="str">
        <f t="shared" si="92"/>
        <v/>
      </c>
      <c r="D942" s="34"/>
      <c r="E942" s="33" t="str">
        <f t="shared" si="93"/>
        <v/>
      </c>
      <c r="F942" s="33" t="str">
        <f t="shared" si="94"/>
        <v/>
      </c>
      <c r="G942" s="35"/>
      <c r="H942" s="35"/>
      <c r="I942" s="33"/>
      <c r="J942" s="33" t="str">
        <f t="shared" si="95"/>
        <v/>
      </c>
      <c r="K942" s="36"/>
      <c r="L942" s="37"/>
      <c r="M942" s="37"/>
      <c r="N942" s="37"/>
      <c r="O942" s="37"/>
      <c r="P942" s="37"/>
      <c r="Q942" s="37"/>
      <c r="R942" s="37"/>
      <c r="S942" s="37"/>
      <c r="T942" s="38"/>
      <c r="U942" s="40"/>
      <c r="V942" s="40"/>
      <c r="W942" s="40"/>
      <c r="X942" s="41"/>
      <c r="Y942" s="37"/>
      <c r="Z942" s="37"/>
      <c r="AA942" s="37"/>
      <c r="AB942" s="37"/>
      <c r="AC942" s="37"/>
      <c r="AD942" s="40"/>
      <c r="AE942" s="40"/>
      <c r="AF942" s="40"/>
      <c r="AG942" s="42"/>
      <c r="AH942" s="36"/>
      <c r="AI942" s="36"/>
    </row>
    <row r="943" spans="1:35" x14ac:dyDescent="0.3">
      <c r="A943" s="32" t="str">
        <f t="shared" si="90"/>
        <v/>
      </c>
      <c r="B943" s="33" t="str">
        <f t="shared" si="91"/>
        <v/>
      </c>
      <c r="C943" s="33" t="str">
        <f t="shared" si="92"/>
        <v/>
      </c>
      <c r="D943" s="34"/>
      <c r="E943" s="33" t="str">
        <f t="shared" si="93"/>
        <v/>
      </c>
      <c r="F943" s="33" t="str">
        <f t="shared" si="94"/>
        <v/>
      </c>
      <c r="G943" s="35"/>
      <c r="H943" s="35"/>
      <c r="I943" s="33"/>
      <c r="J943" s="33" t="str">
        <f t="shared" si="95"/>
        <v/>
      </c>
      <c r="K943" s="36"/>
      <c r="L943" s="37"/>
      <c r="M943" s="37"/>
      <c r="N943" s="37"/>
      <c r="O943" s="37"/>
      <c r="P943" s="37"/>
      <c r="Q943" s="37"/>
      <c r="R943" s="37"/>
      <c r="S943" s="37"/>
      <c r="T943" s="38"/>
      <c r="U943" s="40"/>
      <c r="V943" s="40"/>
      <c r="W943" s="40"/>
      <c r="X943" s="41"/>
      <c r="Y943" s="37"/>
      <c r="Z943" s="37"/>
      <c r="AA943" s="37"/>
      <c r="AB943" s="37"/>
      <c r="AC943" s="37"/>
      <c r="AD943" s="40"/>
      <c r="AE943" s="40"/>
      <c r="AF943" s="40"/>
      <c r="AG943" s="42"/>
      <c r="AH943" s="36"/>
      <c r="AI943" s="36"/>
    </row>
    <row r="944" spans="1:35" x14ac:dyDescent="0.3">
      <c r="A944" s="32" t="str">
        <f t="shared" si="90"/>
        <v/>
      </c>
      <c r="B944" s="33" t="str">
        <f t="shared" si="91"/>
        <v/>
      </c>
      <c r="C944" s="33" t="str">
        <f t="shared" si="92"/>
        <v/>
      </c>
      <c r="D944" s="34"/>
      <c r="E944" s="33" t="str">
        <f t="shared" si="93"/>
        <v/>
      </c>
      <c r="F944" s="33" t="str">
        <f t="shared" si="94"/>
        <v/>
      </c>
      <c r="G944" s="35"/>
      <c r="H944" s="35"/>
      <c r="I944" s="33"/>
      <c r="J944" s="33" t="str">
        <f t="shared" si="95"/>
        <v/>
      </c>
      <c r="K944" s="36"/>
      <c r="L944" s="37"/>
      <c r="M944" s="37"/>
      <c r="N944" s="37"/>
      <c r="O944" s="37"/>
      <c r="P944" s="37"/>
      <c r="Q944" s="37"/>
      <c r="R944" s="37"/>
      <c r="S944" s="37"/>
      <c r="T944" s="38"/>
      <c r="U944" s="40"/>
      <c r="V944" s="40"/>
      <c r="W944" s="40"/>
      <c r="X944" s="41"/>
      <c r="Y944" s="37"/>
      <c r="Z944" s="37"/>
      <c r="AA944" s="37"/>
      <c r="AB944" s="37"/>
      <c r="AC944" s="37"/>
      <c r="AD944" s="40"/>
      <c r="AE944" s="40"/>
      <c r="AF944" s="40"/>
      <c r="AG944" s="42"/>
      <c r="AH944" s="36"/>
      <c r="AI944" s="36"/>
    </row>
    <row r="945" spans="1:35" x14ac:dyDescent="0.3">
      <c r="A945" s="32" t="str">
        <f t="shared" si="90"/>
        <v/>
      </c>
      <c r="B945" s="33" t="str">
        <f t="shared" si="91"/>
        <v/>
      </c>
      <c r="C945" s="33" t="str">
        <f t="shared" si="92"/>
        <v/>
      </c>
      <c r="D945" s="34"/>
      <c r="E945" s="33" t="str">
        <f t="shared" si="93"/>
        <v/>
      </c>
      <c r="F945" s="33" t="str">
        <f t="shared" si="94"/>
        <v/>
      </c>
      <c r="G945" s="35"/>
      <c r="H945" s="35"/>
      <c r="I945" s="33"/>
      <c r="J945" s="33" t="str">
        <f t="shared" si="95"/>
        <v/>
      </c>
      <c r="K945" s="36"/>
      <c r="L945" s="37"/>
      <c r="M945" s="37"/>
      <c r="N945" s="37"/>
      <c r="O945" s="37"/>
      <c r="P945" s="37"/>
      <c r="Q945" s="37"/>
      <c r="R945" s="37"/>
      <c r="S945" s="37"/>
      <c r="T945" s="38"/>
      <c r="U945" s="40"/>
      <c r="V945" s="40"/>
      <c r="W945" s="40"/>
      <c r="X945" s="41"/>
      <c r="Y945" s="37"/>
      <c r="Z945" s="37"/>
      <c r="AA945" s="37"/>
      <c r="AB945" s="37"/>
      <c r="AC945" s="37"/>
      <c r="AD945" s="40"/>
      <c r="AE945" s="40"/>
      <c r="AF945" s="40"/>
      <c r="AG945" s="42"/>
      <c r="AH945" s="36"/>
      <c r="AI945" s="36"/>
    </row>
    <row r="946" spans="1:35" x14ac:dyDescent="0.3">
      <c r="A946" s="32" t="str">
        <f t="shared" si="90"/>
        <v/>
      </c>
      <c r="B946" s="33" t="str">
        <f t="shared" si="91"/>
        <v/>
      </c>
      <c r="C946" s="33" t="str">
        <f t="shared" si="92"/>
        <v/>
      </c>
      <c r="D946" s="34"/>
      <c r="E946" s="33" t="str">
        <f t="shared" si="93"/>
        <v/>
      </c>
      <c r="F946" s="33" t="str">
        <f t="shared" si="94"/>
        <v/>
      </c>
      <c r="G946" s="35"/>
      <c r="H946" s="35"/>
      <c r="I946" s="33"/>
      <c r="J946" s="33" t="str">
        <f t="shared" si="95"/>
        <v/>
      </c>
      <c r="K946" s="36"/>
      <c r="L946" s="37"/>
      <c r="M946" s="37"/>
      <c r="N946" s="37"/>
      <c r="O946" s="37"/>
      <c r="P946" s="37"/>
      <c r="Q946" s="37"/>
      <c r="R946" s="37"/>
      <c r="S946" s="37"/>
      <c r="T946" s="38"/>
      <c r="U946" s="40"/>
      <c r="V946" s="40"/>
      <c r="W946" s="40"/>
      <c r="X946" s="41"/>
      <c r="Y946" s="37"/>
      <c r="Z946" s="37"/>
      <c r="AA946" s="37"/>
      <c r="AB946" s="37"/>
      <c r="AC946" s="37"/>
      <c r="AD946" s="40"/>
      <c r="AE946" s="40"/>
      <c r="AF946" s="40"/>
      <c r="AG946" s="42"/>
      <c r="AH946" s="36"/>
      <c r="AI946" s="36"/>
    </row>
    <row r="947" spans="1:35" x14ac:dyDescent="0.3">
      <c r="A947" s="32" t="str">
        <f t="shared" si="90"/>
        <v/>
      </c>
      <c r="B947" s="33" t="str">
        <f t="shared" si="91"/>
        <v/>
      </c>
      <c r="C947" s="33" t="str">
        <f t="shared" si="92"/>
        <v/>
      </c>
      <c r="D947" s="34"/>
      <c r="E947" s="33" t="str">
        <f t="shared" si="93"/>
        <v/>
      </c>
      <c r="F947" s="33" t="str">
        <f t="shared" si="94"/>
        <v/>
      </c>
      <c r="G947" s="35"/>
      <c r="H947" s="35"/>
      <c r="I947" s="33"/>
      <c r="J947" s="33" t="str">
        <f t="shared" si="95"/>
        <v/>
      </c>
      <c r="K947" s="36"/>
      <c r="L947" s="37"/>
      <c r="M947" s="37"/>
      <c r="N947" s="37"/>
      <c r="O947" s="37"/>
      <c r="P947" s="37"/>
      <c r="Q947" s="37"/>
      <c r="R947" s="37"/>
      <c r="S947" s="37"/>
      <c r="T947" s="38"/>
      <c r="U947" s="40"/>
      <c r="V947" s="40"/>
      <c r="W947" s="40"/>
      <c r="X947" s="41"/>
      <c r="Y947" s="37"/>
      <c r="Z947" s="37"/>
      <c r="AA947" s="37"/>
      <c r="AB947" s="37"/>
      <c r="AC947" s="37"/>
      <c r="AD947" s="40"/>
      <c r="AE947" s="40"/>
      <c r="AF947" s="40"/>
      <c r="AG947" s="42"/>
      <c r="AH947" s="36"/>
      <c r="AI947" s="36"/>
    </row>
    <row r="948" spans="1:35" x14ac:dyDescent="0.3">
      <c r="A948" s="32" t="str">
        <f t="shared" si="90"/>
        <v/>
      </c>
      <c r="B948" s="33" t="str">
        <f t="shared" si="91"/>
        <v/>
      </c>
      <c r="C948" s="33" t="str">
        <f t="shared" si="92"/>
        <v/>
      </c>
      <c r="D948" s="34"/>
      <c r="E948" s="33" t="str">
        <f t="shared" si="93"/>
        <v/>
      </c>
      <c r="F948" s="33" t="str">
        <f t="shared" si="94"/>
        <v/>
      </c>
      <c r="G948" s="35"/>
      <c r="H948" s="35"/>
      <c r="I948" s="33"/>
      <c r="J948" s="33" t="str">
        <f t="shared" si="95"/>
        <v/>
      </c>
      <c r="K948" s="36"/>
      <c r="L948" s="37"/>
      <c r="M948" s="37"/>
      <c r="N948" s="37"/>
      <c r="O948" s="37"/>
      <c r="P948" s="37"/>
      <c r="Q948" s="37"/>
      <c r="R948" s="37"/>
      <c r="S948" s="37"/>
      <c r="T948" s="38"/>
      <c r="U948" s="40"/>
      <c r="V948" s="40"/>
      <c r="W948" s="40"/>
      <c r="X948" s="41"/>
      <c r="Y948" s="37"/>
      <c r="Z948" s="37"/>
      <c r="AA948" s="37"/>
      <c r="AB948" s="37"/>
      <c r="AC948" s="37"/>
      <c r="AD948" s="40"/>
      <c r="AE948" s="40"/>
      <c r="AF948" s="40"/>
      <c r="AG948" s="42"/>
      <c r="AH948" s="36"/>
      <c r="AI948" s="36"/>
    </row>
    <row r="949" spans="1:35" x14ac:dyDescent="0.3">
      <c r="A949" s="32" t="str">
        <f t="shared" si="90"/>
        <v/>
      </c>
      <c r="B949" s="33" t="str">
        <f t="shared" si="91"/>
        <v/>
      </c>
      <c r="C949" s="33" t="str">
        <f t="shared" si="92"/>
        <v/>
      </c>
      <c r="D949" s="34"/>
      <c r="E949" s="33" t="str">
        <f t="shared" si="93"/>
        <v/>
      </c>
      <c r="F949" s="33" t="str">
        <f t="shared" si="94"/>
        <v/>
      </c>
      <c r="G949" s="35"/>
      <c r="H949" s="35"/>
      <c r="I949" s="33"/>
      <c r="J949" s="33" t="str">
        <f t="shared" si="95"/>
        <v/>
      </c>
      <c r="K949" s="36"/>
      <c r="L949" s="37"/>
      <c r="M949" s="37"/>
      <c r="N949" s="37"/>
      <c r="O949" s="37"/>
      <c r="P949" s="37"/>
      <c r="Q949" s="37"/>
      <c r="R949" s="37"/>
      <c r="S949" s="37"/>
      <c r="T949" s="38"/>
      <c r="U949" s="40"/>
      <c r="V949" s="40"/>
      <c r="W949" s="40"/>
      <c r="X949" s="41"/>
      <c r="Y949" s="37"/>
      <c r="Z949" s="37"/>
      <c r="AA949" s="37"/>
      <c r="AB949" s="37"/>
      <c r="AC949" s="37"/>
      <c r="AD949" s="40"/>
      <c r="AE949" s="40"/>
      <c r="AF949" s="40"/>
      <c r="AG949" s="42"/>
      <c r="AH949" s="36"/>
      <c r="AI949" s="36"/>
    </row>
    <row r="950" spans="1:35" x14ac:dyDescent="0.3">
      <c r="A950" s="32" t="str">
        <f t="shared" si="90"/>
        <v/>
      </c>
      <c r="B950" s="33" t="str">
        <f t="shared" si="91"/>
        <v/>
      </c>
      <c r="C950" s="33" t="str">
        <f t="shared" si="92"/>
        <v/>
      </c>
      <c r="D950" s="34"/>
      <c r="E950" s="33" t="str">
        <f t="shared" si="93"/>
        <v/>
      </c>
      <c r="F950" s="33" t="str">
        <f t="shared" si="94"/>
        <v/>
      </c>
      <c r="G950" s="35"/>
      <c r="H950" s="35"/>
      <c r="I950" s="33"/>
      <c r="J950" s="33" t="str">
        <f t="shared" si="95"/>
        <v/>
      </c>
      <c r="K950" s="36"/>
      <c r="L950" s="37"/>
      <c r="M950" s="37"/>
      <c r="N950" s="37"/>
      <c r="O950" s="37"/>
      <c r="P950" s="37"/>
      <c r="Q950" s="37"/>
      <c r="R950" s="37"/>
      <c r="S950" s="37"/>
      <c r="T950" s="38"/>
      <c r="U950" s="40"/>
      <c r="V950" s="40"/>
      <c r="W950" s="40"/>
      <c r="X950" s="41"/>
      <c r="Y950" s="37"/>
      <c r="Z950" s="37"/>
      <c r="AA950" s="37"/>
      <c r="AB950" s="37"/>
      <c r="AC950" s="37"/>
      <c r="AD950" s="40"/>
      <c r="AE950" s="40"/>
      <c r="AF950" s="40"/>
      <c r="AG950" s="42"/>
      <c r="AH950" s="36"/>
      <c r="AI950" s="36"/>
    </row>
    <row r="951" spans="1:35" x14ac:dyDescent="0.3">
      <c r="A951" s="32" t="str">
        <f t="shared" si="90"/>
        <v/>
      </c>
      <c r="B951" s="33" t="str">
        <f t="shared" si="91"/>
        <v/>
      </c>
      <c r="C951" s="33" t="str">
        <f t="shared" si="92"/>
        <v/>
      </c>
      <c r="D951" s="34"/>
      <c r="E951" s="33" t="str">
        <f t="shared" si="93"/>
        <v/>
      </c>
      <c r="F951" s="33" t="str">
        <f t="shared" si="94"/>
        <v/>
      </c>
      <c r="G951" s="35"/>
      <c r="H951" s="35"/>
      <c r="I951" s="33"/>
      <c r="J951" s="33" t="str">
        <f t="shared" si="95"/>
        <v/>
      </c>
      <c r="K951" s="36"/>
      <c r="L951" s="37"/>
      <c r="M951" s="37"/>
      <c r="N951" s="37"/>
      <c r="O951" s="37"/>
      <c r="P951" s="37"/>
      <c r="Q951" s="37"/>
      <c r="R951" s="37"/>
      <c r="S951" s="37"/>
      <c r="T951" s="38"/>
      <c r="U951" s="40"/>
      <c r="V951" s="40"/>
      <c r="W951" s="40"/>
      <c r="X951" s="41"/>
      <c r="Y951" s="37"/>
      <c r="Z951" s="37"/>
      <c r="AA951" s="37"/>
      <c r="AB951" s="37"/>
      <c r="AC951" s="37"/>
      <c r="AD951" s="40"/>
      <c r="AE951" s="40"/>
      <c r="AF951" s="40"/>
      <c r="AG951" s="42"/>
      <c r="AH951" s="36"/>
      <c r="AI951" s="36"/>
    </row>
    <row r="952" spans="1:35" x14ac:dyDescent="0.3">
      <c r="A952" s="32" t="str">
        <f t="shared" si="90"/>
        <v/>
      </c>
      <c r="B952" s="33" t="str">
        <f t="shared" si="91"/>
        <v/>
      </c>
      <c r="C952" s="33" t="str">
        <f t="shared" si="92"/>
        <v/>
      </c>
      <c r="D952" s="34"/>
      <c r="E952" s="33" t="str">
        <f t="shared" si="93"/>
        <v/>
      </c>
      <c r="F952" s="33" t="str">
        <f t="shared" si="94"/>
        <v/>
      </c>
      <c r="G952" s="35"/>
      <c r="H952" s="35"/>
      <c r="I952" s="33"/>
      <c r="J952" s="33" t="str">
        <f t="shared" si="95"/>
        <v/>
      </c>
      <c r="K952" s="36"/>
      <c r="L952" s="37"/>
      <c r="M952" s="37"/>
      <c r="N952" s="37"/>
      <c r="O952" s="37"/>
      <c r="P952" s="37"/>
      <c r="Q952" s="37"/>
      <c r="R952" s="37"/>
      <c r="S952" s="37"/>
      <c r="T952" s="38"/>
      <c r="U952" s="40"/>
      <c r="V952" s="40"/>
      <c r="W952" s="40"/>
      <c r="X952" s="41"/>
      <c r="Y952" s="37"/>
      <c r="Z952" s="37"/>
      <c r="AA952" s="37"/>
      <c r="AB952" s="37"/>
      <c r="AC952" s="37"/>
      <c r="AD952" s="40"/>
      <c r="AE952" s="40"/>
      <c r="AF952" s="40"/>
      <c r="AG952" s="42"/>
      <c r="AH952" s="36"/>
      <c r="AI952" s="36"/>
    </row>
    <row r="953" spans="1:35" x14ac:dyDescent="0.3">
      <c r="A953" s="32" t="str">
        <f t="shared" si="90"/>
        <v/>
      </c>
      <c r="B953" s="33" t="str">
        <f t="shared" si="91"/>
        <v/>
      </c>
      <c r="C953" s="33" t="str">
        <f t="shared" si="92"/>
        <v/>
      </c>
      <c r="D953" s="34"/>
      <c r="E953" s="33" t="str">
        <f t="shared" si="93"/>
        <v/>
      </c>
      <c r="F953" s="33" t="str">
        <f t="shared" si="94"/>
        <v/>
      </c>
      <c r="G953" s="35"/>
      <c r="H953" s="35"/>
      <c r="I953" s="33"/>
      <c r="J953" s="33" t="str">
        <f t="shared" si="95"/>
        <v/>
      </c>
      <c r="K953" s="36"/>
      <c r="L953" s="37"/>
      <c r="M953" s="37"/>
      <c r="N953" s="37"/>
      <c r="O953" s="37"/>
      <c r="P953" s="37"/>
      <c r="Q953" s="37"/>
      <c r="R953" s="37"/>
      <c r="S953" s="37"/>
      <c r="T953" s="38"/>
      <c r="U953" s="40"/>
      <c r="V953" s="40"/>
      <c r="W953" s="40"/>
      <c r="X953" s="41"/>
      <c r="Y953" s="37"/>
      <c r="Z953" s="37"/>
      <c r="AA953" s="37"/>
      <c r="AB953" s="37"/>
      <c r="AC953" s="37"/>
      <c r="AD953" s="40"/>
      <c r="AE953" s="40"/>
      <c r="AF953" s="40"/>
      <c r="AG953" s="42"/>
      <c r="AH953" s="36"/>
      <c r="AI953" s="36"/>
    </row>
    <row r="954" spans="1:35" x14ac:dyDescent="0.3">
      <c r="A954" s="32" t="str">
        <f t="shared" si="90"/>
        <v/>
      </c>
      <c r="B954" s="33" t="str">
        <f t="shared" si="91"/>
        <v/>
      </c>
      <c r="C954" s="33" t="str">
        <f t="shared" si="92"/>
        <v/>
      </c>
      <c r="D954" s="34"/>
      <c r="E954" s="33" t="str">
        <f t="shared" si="93"/>
        <v/>
      </c>
      <c r="F954" s="33" t="str">
        <f t="shared" si="94"/>
        <v/>
      </c>
      <c r="G954" s="35"/>
      <c r="H954" s="35"/>
      <c r="I954" s="33"/>
      <c r="J954" s="33" t="str">
        <f t="shared" si="95"/>
        <v/>
      </c>
      <c r="K954" s="36"/>
      <c r="L954" s="37"/>
      <c r="M954" s="37"/>
      <c r="N954" s="37"/>
      <c r="O954" s="37"/>
      <c r="P954" s="37"/>
      <c r="Q954" s="37"/>
      <c r="R954" s="37"/>
      <c r="S954" s="37"/>
      <c r="T954" s="38"/>
      <c r="U954" s="40"/>
      <c r="V954" s="40"/>
      <c r="W954" s="40"/>
      <c r="X954" s="41"/>
      <c r="Y954" s="37"/>
      <c r="Z954" s="37"/>
      <c r="AA954" s="37"/>
      <c r="AB954" s="37"/>
      <c r="AC954" s="37"/>
      <c r="AD954" s="40"/>
      <c r="AE954" s="40"/>
      <c r="AF954" s="40"/>
      <c r="AG954" s="42"/>
      <c r="AH954" s="36"/>
      <c r="AI954" s="36"/>
    </row>
    <row r="955" spans="1:35" x14ac:dyDescent="0.3">
      <c r="A955" s="32" t="str">
        <f t="shared" si="90"/>
        <v/>
      </c>
      <c r="B955" s="33" t="str">
        <f t="shared" si="91"/>
        <v/>
      </c>
      <c r="C955" s="33" t="str">
        <f t="shared" si="92"/>
        <v/>
      </c>
      <c r="D955" s="34"/>
      <c r="E955" s="33" t="str">
        <f t="shared" si="93"/>
        <v/>
      </c>
      <c r="F955" s="33" t="str">
        <f t="shared" si="94"/>
        <v/>
      </c>
      <c r="G955" s="35"/>
      <c r="H955" s="35"/>
      <c r="I955" s="33"/>
      <c r="J955" s="33" t="str">
        <f t="shared" si="95"/>
        <v/>
      </c>
      <c r="K955" s="36"/>
      <c r="L955" s="37"/>
      <c r="M955" s="37"/>
      <c r="N955" s="37"/>
      <c r="O955" s="37"/>
      <c r="P955" s="37"/>
      <c r="Q955" s="37"/>
      <c r="R955" s="37"/>
      <c r="S955" s="37"/>
      <c r="T955" s="38"/>
      <c r="U955" s="40"/>
      <c r="V955" s="40"/>
      <c r="W955" s="40"/>
      <c r="X955" s="41"/>
      <c r="Y955" s="37"/>
      <c r="Z955" s="37"/>
      <c r="AA955" s="37"/>
      <c r="AB955" s="37"/>
      <c r="AC955" s="37"/>
      <c r="AD955" s="40"/>
      <c r="AE955" s="40"/>
      <c r="AF955" s="40"/>
      <c r="AG955" s="42"/>
      <c r="AH955" s="36"/>
      <c r="AI955" s="36"/>
    </row>
    <row r="956" spans="1:35" x14ac:dyDescent="0.3">
      <c r="A956" s="32" t="str">
        <f t="shared" si="90"/>
        <v/>
      </c>
      <c r="B956" s="33" t="str">
        <f t="shared" si="91"/>
        <v/>
      </c>
      <c r="C956" s="33" t="str">
        <f t="shared" si="92"/>
        <v/>
      </c>
      <c r="D956" s="34"/>
      <c r="E956" s="33" t="str">
        <f t="shared" si="93"/>
        <v/>
      </c>
      <c r="F956" s="33" t="str">
        <f t="shared" si="94"/>
        <v/>
      </c>
      <c r="G956" s="35"/>
      <c r="H956" s="35"/>
      <c r="I956" s="33"/>
      <c r="J956" s="33" t="str">
        <f t="shared" si="95"/>
        <v/>
      </c>
      <c r="K956" s="36"/>
      <c r="L956" s="37"/>
      <c r="M956" s="37"/>
      <c r="N956" s="37"/>
      <c r="O956" s="37"/>
      <c r="P956" s="37"/>
      <c r="Q956" s="37"/>
      <c r="R956" s="37"/>
      <c r="S956" s="37"/>
      <c r="T956" s="38"/>
      <c r="U956" s="40"/>
      <c r="V956" s="40"/>
      <c r="W956" s="40"/>
      <c r="X956" s="41"/>
      <c r="Y956" s="37"/>
      <c r="Z956" s="37"/>
      <c r="AA956" s="37"/>
      <c r="AB956" s="37"/>
      <c r="AC956" s="37"/>
      <c r="AD956" s="40"/>
      <c r="AE956" s="40"/>
      <c r="AF956" s="40"/>
      <c r="AG956" s="42"/>
      <c r="AH956" s="36"/>
      <c r="AI956" s="36"/>
    </row>
    <row r="957" spans="1:35" x14ac:dyDescent="0.3">
      <c r="A957" s="32" t="str">
        <f t="shared" si="90"/>
        <v/>
      </c>
      <c r="B957" s="33" t="str">
        <f t="shared" si="91"/>
        <v/>
      </c>
      <c r="C957" s="33" t="str">
        <f t="shared" si="92"/>
        <v/>
      </c>
      <c r="D957" s="34"/>
      <c r="E957" s="33" t="str">
        <f t="shared" si="93"/>
        <v/>
      </c>
      <c r="F957" s="33" t="str">
        <f t="shared" si="94"/>
        <v/>
      </c>
      <c r="G957" s="35"/>
      <c r="H957" s="35"/>
      <c r="I957" s="33"/>
      <c r="J957" s="33" t="str">
        <f t="shared" si="95"/>
        <v/>
      </c>
      <c r="K957" s="36"/>
      <c r="L957" s="37"/>
      <c r="M957" s="37"/>
      <c r="N957" s="37"/>
      <c r="O957" s="37"/>
      <c r="P957" s="37"/>
      <c r="Q957" s="37"/>
      <c r="R957" s="37"/>
      <c r="S957" s="37"/>
      <c r="T957" s="38"/>
      <c r="U957" s="40"/>
      <c r="V957" s="40"/>
      <c r="W957" s="40"/>
      <c r="X957" s="41"/>
      <c r="Y957" s="37"/>
      <c r="Z957" s="37"/>
      <c r="AA957" s="37"/>
      <c r="AB957" s="37"/>
      <c r="AC957" s="37"/>
      <c r="AD957" s="40"/>
      <c r="AE957" s="40"/>
      <c r="AF957" s="40"/>
      <c r="AG957" s="42"/>
      <c r="AH957" s="36"/>
      <c r="AI957" s="36"/>
    </row>
    <row r="958" spans="1:35" x14ac:dyDescent="0.3">
      <c r="A958" s="32" t="str">
        <f t="shared" si="90"/>
        <v/>
      </c>
      <c r="B958" s="33" t="str">
        <f t="shared" si="91"/>
        <v/>
      </c>
      <c r="C958" s="33" t="str">
        <f t="shared" si="92"/>
        <v/>
      </c>
      <c r="D958" s="34"/>
      <c r="E958" s="33" t="str">
        <f t="shared" si="93"/>
        <v/>
      </c>
      <c r="F958" s="33" t="str">
        <f t="shared" si="94"/>
        <v/>
      </c>
      <c r="G958" s="35"/>
      <c r="H958" s="35"/>
      <c r="I958" s="33"/>
      <c r="J958" s="33" t="str">
        <f t="shared" si="95"/>
        <v/>
      </c>
      <c r="K958" s="36"/>
      <c r="L958" s="37"/>
      <c r="M958" s="37"/>
      <c r="N958" s="37"/>
      <c r="O958" s="37"/>
      <c r="P958" s="37"/>
      <c r="Q958" s="37"/>
      <c r="R958" s="37"/>
      <c r="S958" s="37"/>
      <c r="T958" s="38"/>
      <c r="U958" s="40"/>
      <c r="V958" s="40"/>
      <c r="W958" s="40"/>
      <c r="X958" s="41"/>
      <c r="Y958" s="37"/>
      <c r="Z958" s="37"/>
      <c r="AA958" s="37"/>
      <c r="AB958" s="37"/>
      <c r="AC958" s="37"/>
      <c r="AD958" s="40"/>
      <c r="AE958" s="40"/>
      <c r="AF958" s="40"/>
      <c r="AG958" s="42"/>
      <c r="AH958" s="36"/>
      <c r="AI958" s="36"/>
    </row>
    <row r="959" spans="1:35" x14ac:dyDescent="0.3">
      <c r="A959" s="32" t="str">
        <f t="shared" si="90"/>
        <v/>
      </c>
      <c r="B959" s="33" t="str">
        <f t="shared" si="91"/>
        <v/>
      </c>
      <c r="C959" s="33" t="str">
        <f t="shared" si="92"/>
        <v/>
      </c>
      <c r="D959" s="34"/>
      <c r="E959" s="33" t="str">
        <f t="shared" si="93"/>
        <v/>
      </c>
      <c r="F959" s="33" t="str">
        <f t="shared" si="94"/>
        <v/>
      </c>
      <c r="G959" s="35"/>
      <c r="H959" s="35"/>
      <c r="I959" s="33"/>
      <c r="J959" s="33" t="str">
        <f t="shared" si="95"/>
        <v/>
      </c>
      <c r="K959" s="36"/>
      <c r="L959" s="37"/>
      <c r="M959" s="37"/>
      <c r="N959" s="37"/>
      <c r="O959" s="37"/>
      <c r="P959" s="37"/>
      <c r="Q959" s="37"/>
      <c r="R959" s="37"/>
      <c r="S959" s="37"/>
      <c r="T959" s="38"/>
      <c r="U959" s="40"/>
      <c r="V959" s="40"/>
      <c r="W959" s="40"/>
      <c r="X959" s="41"/>
      <c r="Y959" s="37"/>
      <c r="Z959" s="37"/>
      <c r="AA959" s="37"/>
      <c r="AB959" s="37"/>
      <c r="AC959" s="37"/>
      <c r="AD959" s="40"/>
      <c r="AE959" s="40"/>
      <c r="AF959" s="40"/>
      <c r="AG959" s="42"/>
      <c r="AH959" s="36"/>
      <c r="AI959" s="36"/>
    </row>
    <row r="960" spans="1:35" x14ac:dyDescent="0.3">
      <c r="A960" s="32" t="str">
        <f t="shared" si="90"/>
        <v/>
      </c>
      <c r="B960" s="33" t="str">
        <f t="shared" si="91"/>
        <v/>
      </c>
      <c r="C960" s="33" t="str">
        <f t="shared" si="92"/>
        <v/>
      </c>
      <c r="D960" s="34"/>
      <c r="E960" s="33" t="str">
        <f t="shared" si="93"/>
        <v/>
      </c>
      <c r="F960" s="33" t="str">
        <f t="shared" si="94"/>
        <v/>
      </c>
      <c r="G960" s="35"/>
      <c r="H960" s="35"/>
      <c r="I960" s="33"/>
      <c r="J960" s="33" t="str">
        <f t="shared" si="95"/>
        <v/>
      </c>
      <c r="K960" s="36"/>
      <c r="L960" s="37"/>
      <c r="M960" s="37"/>
      <c r="N960" s="37"/>
      <c r="O960" s="37"/>
      <c r="P960" s="37"/>
      <c r="Q960" s="37"/>
      <c r="R960" s="37"/>
      <c r="S960" s="37"/>
      <c r="T960" s="38"/>
      <c r="U960" s="40"/>
      <c r="V960" s="40"/>
      <c r="W960" s="40"/>
      <c r="X960" s="41"/>
      <c r="Y960" s="37"/>
      <c r="Z960" s="37"/>
      <c r="AA960" s="37"/>
      <c r="AB960" s="37"/>
      <c r="AC960" s="37"/>
      <c r="AD960" s="40"/>
      <c r="AE960" s="40"/>
      <c r="AF960" s="40"/>
      <c r="AG960" s="42"/>
      <c r="AH960" s="36"/>
      <c r="AI960" s="36"/>
    </row>
    <row r="961" spans="1:35" x14ac:dyDescent="0.3">
      <c r="A961" s="32" t="str">
        <f t="shared" si="90"/>
        <v/>
      </c>
      <c r="B961" s="33" t="str">
        <f t="shared" si="91"/>
        <v/>
      </c>
      <c r="C961" s="33" t="str">
        <f t="shared" si="92"/>
        <v/>
      </c>
      <c r="D961" s="34"/>
      <c r="E961" s="33" t="str">
        <f t="shared" si="93"/>
        <v/>
      </c>
      <c r="F961" s="33" t="str">
        <f t="shared" si="94"/>
        <v/>
      </c>
      <c r="G961" s="35"/>
      <c r="H961" s="35"/>
      <c r="I961" s="33"/>
      <c r="J961" s="33" t="str">
        <f t="shared" si="95"/>
        <v/>
      </c>
      <c r="K961" s="36"/>
      <c r="L961" s="37"/>
      <c r="M961" s="37"/>
      <c r="N961" s="37"/>
      <c r="O961" s="37"/>
      <c r="P961" s="37"/>
      <c r="Q961" s="37"/>
      <c r="R961" s="37"/>
      <c r="S961" s="37"/>
      <c r="T961" s="38"/>
      <c r="U961" s="40"/>
      <c r="V961" s="40"/>
      <c r="W961" s="40"/>
      <c r="X961" s="41"/>
      <c r="Y961" s="37"/>
      <c r="Z961" s="37"/>
      <c r="AA961" s="37"/>
      <c r="AB961" s="37"/>
      <c r="AC961" s="37"/>
      <c r="AD961" s="40"/>
      <c r="AE961" s="40"/>
      <c r="AF961" s="40"/>
      <c r="AG961" s="42"/>
      <c r="AH961" s="36"/>
      <c r="AI961" s="36"/>
    </row>
    <row r="962" spans="1:35" x14ac:dyDescent="0.3">
      <c r="A962" s="32" t="str">
        <f t="shared" si="90"/>
        <v/>
      </c>
      <c r="B962" s="33" t="str">
        <f t="shared" si="91"/>
        <v/>
      </c>
      <c r="C962" s="33" t="str">
        <f t="shared" si="92"/>
        <v/>
      </c>
      <c r="D962" s="34"/>
      <c r="E962" s="33" t="str">
        <f t="shared" si="93"/>
        <v/>
      </c>
      <c r="F962" s="33" t="str">
        <f t="shared" si="94"/>
        <v/>
      </c>
      <c r="G962" s="35"/>
      <c r="H962" s="35"/>
      <c r="I962" s="33"/>
      <c r="J962" s="33" t="str">
        <f t="shared" si="95"/>
        <v/>
      </c>
      <c r="K962" s="36"/>
      <c r="L962" s="37"/>
      <c r="M962" s="37"/>
      <c r="N962" s="37"/>
      <c r="O962" s="37"/>
      <c r="P962" s="37"/>
      <c r="Q962" s="37"/>
      <c r="R962" s="37"/>
      <c r="S962" s="37"/>
      <c r="T962" s="38"/>
      <c r="U962" s="40"/>
      <c r="V962" s="40"/>
      <c r="W962" s="40"/>
      <c r="X962" s="41"/>
      <c r="Y962" s="37"/>
      <c r="Z962" s="37"/>
      <c r="AA962" s="37"/>
      <c r="AB962" s="37"/>
      <c r="AC962" s="37"/>
      <c r="AD962" s="40"/>
      <c r="AE962" s="40"/>
      <c r="AF962" s="40"/>
      <c r="AG962" s="42"/>
      <c r="AH962" s="36"/>
      <c r="AI962" s="36"/>
    </row>
    <row r="963" spans="1:35" x14ac:dyDescent="0.3">
      <c r="A963" s="32" t="str">
        <f t="shared" si="90"/>
        <v/>
      </c>
      <c r="B963" s="33" t="str">
        <f t="shared" si="91"/>
        <v/>
      </c>
      <c r="C963" s="33" t="str">
        <f t="shared" si="92"/>
        <v/>
      </c>
      <c r="D963" s="34"/>
      <c r="E963" s="33" t="str">
        <f t="shared" si="93"/>
        <v/>
      </c>
      <c r="F963" s="33" t="str">
        <f t="shared" si="94"/>
        <v/>
      </c>
      <c r="G963" s="35"/>
      <c r="H963" s="35"/>
      <c r="I963" s="33"/>
      <c r="J963" s="33" t="str">
        <f t="shared" si="95"/>
        <v/>
      </c>
      <c r="K963" s="36"/>
      <c r="L963" s="37"/>
      <c r="M963" s="37"/>
      <c r="N963" s="37"/>
      <c r="O963" s="37"/>
      <c r="P963" s="37"/>
      <c r="Q963" s="37"/>
      <c r="R963" s="37"/>
      <c r="S963" s="37"/>
      <c r="T963" s="38"/>
      <c r="U963" s="40"/>
      <c r="V963" s="40"/>
      <c r="W963" s="40"/>
      <c r="X963" s="41"/>
      <c r="Y963" s="37"/>
      <c r="Z963" s="37"/>
      <c r="AA963" s="37"/>
      <c r="AB963" s="37"/>
      <c r="AC963" s="37"/>
      <c r="AD963" s="40"/>
      <c r="AE963" s="40"/>
      <c r="AF963" s="40"/>
      <c r="AG963" s="42"/>
      <c r="AH963" s="36"/>
      <c r="AI963" s="36"/>
    </row>
    <row r="964" spans="1:35" x14ac:dyDescent="0.3">
      <c r="A964" s="32" t="str">
        <f t="shared" si="90"/>
        <v/>
      </c>
      <c r="B964" s="33" t="str">
        <f t="shared" si="91"/>
        <v/>
      </c>
      <c r="C964" s="33" t="str">
        <f t="shared" si="92"/>
        <v/>
      </c>
      <c r="D964" s="34"/>
      <c r="E964" s="33" t="str">
        <f t="shared" si="93"/>
        <v/>
      </c>
      <c r="F964" s="33" t="str">
        <f t="shared" si="94"/>
        <v/>
      </c>
      <c r="G964" s="35"/>
      <c r="H964" s="35"/>
      <c r="I964" s="33"/>
      <c r="J964" s="33" t="str">
        <f t="shared" si="95"/>
        <v/>
      </c>
      <c r="K964" s="36"/>
      <c r="L964" s="37"/>
      <c r="M964" s="37"/>
      <c r="N964" s="37"/>
      <c r="O964" s="37"/>
      <c r="P964" s="37"/>
      <c r="Q964" s="37"/>
      <c r="R964" s="37"/>
      <c r="S964" s="37"/>
      <c r="T964" s="38"/>
      <c r="U964" s="40"/>
      <c r="V964" s="40"/>
      <c r="W964" s="40"/>
      <c r="X964" s="41"/>
      <c r="Y964" s="37"/>
      <c r="Z964" s="37"/>
      <c r="AA964" s="37"/>
      <c r="AB964" s="37"/>
      <c r="AC964" s="37"/>
      <c r="AD964" s="40"/>
      <c r="AE964" s="40"/>
      <c r="AF964" s="40"/>
      <c r="AG964" s="42"/>
      <c r="AH964" s="36"/>
      <c r="AI964" s="36"/>
    </row>
    <row r="965" spans="1:35" x14ac:dyDescent="0.3">
      <c r="A965" s="32" t="str">
        <f t="shared" si="90"/>
        <v/>
      </c>
      <c r="B965" s="33" t="str">
        <f t="shared" si="91"/>
        <v/>
      </c>
      <c r="C965" s="33" t="str">
        <f t="shared" si="92"/>
        <v/>
      </c>
      <c r="D965" s="34"/>
      <c r="E965" s="33" t="str">
        <f t="shared" si="93"/>
        <v/>
      </c>
      <c r="F965" s="33" t="str">
        <f t="shared" si="94"/>
        <v/>
      </c>
      <c r="G965" s="35"/>
      <c r="H965" s="35"/>
      <c r="I965" s="33"/>
      <c r="J965" s="33" t="str">
        <f t="shared" si="95"/>
        <v/>
      </c>
      <c r="K965" s="36"/>
      <c r="L965" s="37"/>
      <c r="M965" s="37"/>
      <c r="N965" s="37"/>
      <c r="O965" s="37"/>
      <c r="P965" s="37"/>
      <c r="Q965" s="37"/>
      <c r="R965" s="37"/>
      <c r="S965" s="37"/>
      <c r="T965" s="38"/>
      <c r="U965" s="40"/>
      <c r="V965" s="40"/>
      <c r="W965" s="40"/>
      <c r="X965" s="41"/>
      <c r="Y965" s="37"/>
      <c r="Z965" s="37"/>
      <c r="AA965" s="37"/>
      <c r="AB965" s="37"/>
      <c r="AC965" s="37"/>
      <c r="AD965" s="40"/>
      <c r="AE965" s="40"/>
      <c r="AF965" s="40"/>
      <c r="AG965" s="42"/>
      <c r="AH965" s="36"/>
      <c r="AI965" s="36"/>
    </row>
    <row r="966" spans="1:35" x14ac:dyDescent="0.3">
      <c r="A966" s="32" t="str">
        <f t="shared" si="90"/>
        <v/>
      </c>
      <c r="B966" s="33" t="str">
        <f t="shared" si="91"/>
        <v/>
      </c>
      <c r="C966" s="33" t="str">
        <f t="shared" si="92"/>
        <v/>
      </c>
      <c r="D966" s="34"/>
      <c r="E966" s="33" t="str">
        <f t="shared" si="93"/>
        <v/>
      </c>
      <c r="F966" s="33" t="str">
        <f t="shared" si="94"/>
        <v/>
      </c>
      <c r="G966" s="35"/>
      <c r="H966" s="35"/>
      <c r="I966" s="33"/>
      <c r="J966" s="33" t="str">
        <f t="shared" si="95"/>
        <v/>
      </c>
      <c r="K966" s="36"/>
      <c r="L966" s="37"/>
      <c r="M966" s="37"/>
      <c r="N966" s="37"/>
      <c r="O966" s="37"/>
      <c r="P966" s="37"/>
      <c r="Q966" s="37"/>
      <c r="R966" s="37"/>
      <c r="S966" s="37"/>
      <c r="T966" s="38"/>
      <c r="U966" s="40"/>
      <c r="V966" s="40"/>
      <c r="W966" s="40"/>
      <c r="X966" s="41"/>
      <c r="Y966" s="37"/>
      <c r="Z966" s="37"/>
      <c r="AA966" s="37"/>
      <c r="AB966" s="37"/>
      <c r="AC966" s="37"/>
      <c r="AD966" s="40"/>
      <c r="AE966" s="40"/>
      <c r="AF966" s="40"/>
      <c r="AG966" s="42"/>
      <c r="AH966" s="36"/>
      <c r="AI966" s="36"/>
    </row>
    <row r="967" spans="1:35" x14ac:dyDescent="0.3">
      <c r="A967" s="32" t="str">
        <f t="shared" si="90"/>
        <v/>
      </c>
      <c r="B967" s="33" t="str">
        <f t="shared" si="91"/>
        <v/>
      </c>
      <c r="C967" s="33" t="str">
        <f t="shared" si="92"/>
        <v/>
      </c>
      <c r="D967" s="34"/>
      <c r="E967" s="33" t="str">
        <f t="shared" si="93"/>
        <v/>
      </c>
      <c r="F967" s="33" t="str">
        <f t="shared" si="94"/>
        <v/>
      </c>
      <c r="G967" s="35"/>
      <c r="H967" s="35"/>
      <c r="I967" s="33"/>
      <c r="J967" s="33" t="str">
        <f t="shared" si="95"/>
        <v/>
      </c>
      <c r="K967" s="36"/>
      <c r="L967" s="37"/>
      <c r="M967" s="37"/>
      <c r="N967" s="37"/>
      <c r="O967" s="37"/>
      <c r="P967" s="37"/>
      <c r="Q967" s="37"/>
      <c r="R967" s="37"/>
      <c r="S967" s="37"/>
      <c r="T967" s="38"/>
      <c r="U967" s="40"/>
      <c r="V967" s="40"/>
      <c r="W967" s="40"/>
      <c r="X967" s="41"/>
      <c r="Y967" s="37"/>
      <c r="Z967" s="37"/>
      <c r="AA967" s="37"/>
      <c r="AB967" s="37"/>
      <c r="AC967" s="37"/>
      <c r="AD967" s="40"/>
      <c r="AE967" s="40"/>
      <c r="AF967" s="40"/>
      <c r="AG967" s="42"/>
      <c r="AH967" s="36"/>
      <c r="AI967" s="36"/>
    </row>
    <row r="968" spans="1:35" x14ac:dyDescent="0.3">
      <c r="A968" s="32" t="str">
        <f t="shared" si="90"/>
        <v/>
      </c>
      <c r="B968" s="33" t="str">
        <f t="shared" si="91"/>
        <v/>
      </c>
      <c r="C968" s="33" t="str">
        <f t="shared" si="92"/>
        <v/>
      </c>
      <c r="D968" s="34"/>
      <c r="E968" s="33" t="str">
        <f t="shared" si="93"/>
        <v/>
      </c>
      <c r="F968" s="33" t="str">
        <f t="shared" si="94"/>
        <v/>
      </c>
      <c r="G968" s="35"/>
      <c r="H968" s="35"/>
      <c r="I968" s="33"/>
      <c r="J968" s="33" t="str">
        <f t="shared" si="95"/>
        <v/>
      </c>
      <c r="K968" s="36"/>
      <c r="L968" s="37"/>
      <c r="M968" s="37"/>
      <c r="N968" s="37"/>
      <c r="O968" s="37"/>
      <c r="P968" s="37"/>
      <c r="Q968" s="37"/>
      <c r="R968" s="37"/>
      <c r="S968" s="37"/>
      <c r="T968" s="38"/>
      <c r="U968" s="40"/>
      <c r="V968" s="40"/>
      <c r="W968" s="40"/>
      <c r="X968" s="41"/>
      <c r="Y968" s="37"/>
      <c r="Z968" s="37"/>
      <c r="AA968" s="37"/>
      <c r="AB968" s="37"/>
      <c r="AC968" s="37"/>
      <c r="AD968" s="40"/>
      <c r="AE968" s="40"/>
      <c r="AF968" s="40"/>
      <c r="AG968" s="42"/>
      <c r="AH968" s="36"/>
      <c r="AI968" s="36"/>
    </row>
    <row r="969" spans="1:35" x14ac:dyDescent="0.3">
      <c r="A969" s="32" t="str">
        <f t="shared" si="90"/>
        <v/>
      </c>
      <c r="B969" s="33" t="str">
        <f t="shared" si="91"/>
        <v/>
      </c>
      <c r="C969" s="33" t="str">
        <f t="shared" si="92"/>
        <v/>
      </c>
      <c r="D969" s="34"/>
      <c r="E969" s="33" t="str">
        <f t="shared" si="93"/>
        <v/>
      </c>
      <c r="F969" s="33" t="str">
        <f t="shared" si="94"/>
        <v/>
      </c>
      <c r="G969" s="35"/>
      <c r="H969" s="35"/>
      <c r="I969" s="33"/>
      <c r="J969" s="33" t="str">
        <f t="shared" si="95"/>
        <v/>
      </c>
      <c r="K969" s="36"/>
      <c r="L969" s="37"/>
      <c r="M969" s="37"/>
      <c r="N969" s="37"/>
      <c r="O969" s="37"/>
      <c r="P969" s="37"/>
      <c r="Q969" s="37"/>
      <c r="R969" s="37"/>
      <c r="S969" s="37"/>
      <c r="T969" s="38"/>
      <c r="U969" s="40"/>
      <c r="V969" s="40"/>
      <c r="W969" s="40"/>
      <c r="X969" s="41"/>
      <c r="Y969" s="37"/>
      <c r="Z969" s="37"/>
      <c r="AA969" s="37"/>
      <c r="AB969" s="37"/>
      <c r="AC969" s="37"/>
      <c r="AD969" s="40"/>
      <c r="AE969" s="40"/>
      <c r="AF969" s="40"/>
      <c r="AG969" s="42"/>
      <c r="AH969" s="36"/>
      <c r="AI969" s="36"/>
    </row>
    <row r="970" spans="1:35" x14ac:dyDescent="0.3">
      <c r="A970" s="32" t="str">
        <f t="shared" si="90"/>
        <v/>
      </c>
      <c r="B970" s="33" t="str">
        <f t="shared" si="91"/>
        <v/>
      </c>
      <c r="C970" s="33" t="str">
        <f t="shared" si="92"/>
        <v/>
      </c>
      <c r="D970" s="34"/>
      <c r="E970" s="33" t="str">
        <f t="shared" si="93"/>
        <v/>
      </c>
      <c r="F970" s="33" t="str">
        <f t="shared" si="94"/>
        <v/>
      </c>
      <c r="G970" s="35"/>
      <c r="H970" s="35"/>
      <c r="I970" s="33"/>
      <c r="J970" s="33" t="str">
        <f t="shared" si="95"/>
        <v/>
      </c>
      <c r="K970" s="36"/>
      <c r="L970" s="37"/>
      <c r="M970" s="37"/>
      <c r="N970" s="37"/>
      <c r="O970" s="37"/>
      <c r="P970" s="37"/>
      <c r="Q970" s="37"/>
      <c r="R970" s="37"/>
      <c r="S970" s="37"/>
      <c r="T970" s="38"/>
      <c r="U970" s="40"/>
      <c r="V970" s="40"/>
      <c r="W970" s="40"/>
      <c r="X970" s="41"/>
      <c r="Y970" s="37"/>
      <c r="Z970" s="37"/>
      <c r="AA970" s="37"/>
      <c r="AB970" s="37"/>
      <c r="AC970" s="37"/>
      <c r="AD970" s="40"/>
      <c r="AE970" s="40"/>
      <c r="AF970" s="40"/>
      <c r="AG970" s="42"/>
      <c r="AH970" s="36"/>
      <c r="AI970" s="36"/>
    </row>
    <row r="971" spans="1:35" x14ac:dyDescent="0.3">
      <c r="A971" s="32" t="str">
        <f t="shared" si="90"/>
        <v/>
      </c>
      <c r="B971" s="33" t="str">
        <f t="shared" si="91"/>
        <v/>
      </c>
      <c r="C971" s="33" t="str">
        <f t="shared" si="92"/>
        <v/>
      </c>
      <c r="D971" s="34"/>
      <c r="E971" s="33" t="str">
        <f t="shared" si="93"/>
        <v/>
      </c>
      <c r="F971" s="33" t="str">
        <f t="shared" si="94"/>
        <v/>
      </c>
      <c r="G971" s="35"/>
      <c r="H971" s="35"/>
      <c r="I971" s="33"/>
      <c r="J971" s="33" t="str">
        <f t="shared" si="95"/>
        <v/>
      </c>
      <c r="K971" s="36"/>
      <c r="L971" s="37"/>
      <c r="M971" s="37"/>
      <c r="N971" s="37"/>
      <c r="O971" s="37"/>
      <c r="P971" s="37"/>
      <c r="Q971" s="37"/>
      <c r="R971" s="37"/>
      <c r="S971" s="37"/>
      <c r="T971" s="38"/>
      <c r="U971" s="40"/>
      <c r="V971" s="40"/>
      <c r="W971" s="40"/>
      <c r="X971" s="41"/>
      <c r="Y971" s="37"/>
      <c r="Z971" s="37"/>
      <c r="AA971" s="37"/>
      <c r="AB971" s="37"/>
      <c r="AC971" s="37"/>
      <c r="AD971" s="40"/>
      <c r="AE971" s="40"/>
      <c r="AF971" s="40"/>
      <c r="AG971" s="42"/>
      <c r="AH971" s="36"/>
      <c r="AI971" s="36"/>
    </row>
    <row r="972" spans="1:35" x14ac:dyDescent="0.3">
      <c r="A972" s="32" t="str">
        <f t="shared" si="90"/>
        <v/>
      </c>
      <c r="B972" s="33" t="str">
        <f t="shared" si="91"/>
        <v/>
      </c>
      <c r="C972" s="33" t="str">
        <f t="shared" si="92"/>
        <v/>
      </c>
      <c r="D972" s="34"/>
      <c r="E972" s="33" t="str">
        <f t="shared" si="93"/>
        <v/>
      </c>
      <c r="F972" s="33" t="str">
        <f t="shared" si="94"/>
        <v/>
      </c>
      <c r="G972" s="35"/>
      <c r="H972" s="35"/>
      <c r="I972" s="33"/>
      <c r="J972" s="33" t="str">
        <f t="shared" si="95"/>
        <v/>
      </c>
      <c r="K972" s="36"/>
      <c r="L972" s="37"/>
      <c r="M972" s="37"/>
      <c r="N972" s="37"/>
      <c r="O972" s="37"/>
      <c r="P972" s="37"/>
      <c r="Q972" s="37"/>
      <c r="R972" s="37"/>
      <c r="S972" s="37"/>
      <c r="T972" s="38"/>
      <c r="U972" s="40"/>
      <c r="V972" s="40"/>
      <c r="W972" s="40"/>
      <c r="X972" s="41"/>
      <c r="Y972" s="37"/>
      <c r="Z972" s="37"/>
      <c r="AA972" s="37"/>
      <c r="AB972" s="37"/>
      <c r="AC972" s="37"/>
      <c r="AD972" s="40"/>
      <c r="AE972" s="40"/>
      <c r="AF972" s="40"/>
      <c r="AG972" s="42"/>
      <c r="AH972" s="36"/>
      <c r="AI972" s="36"/>
    </row>
    <row r="973" spans="1:35" x14ac:dyDescent="0.3">
      <c r="A973" s="32" t="str">
        <f t="shared" si="90"/>
        <v/>
      </c>
      <c r="B973" s="33" t="str">
        <f t="shared" si="91"/>
        <v/>
      </c>
      <c r="C973" s="33" t="str">
        <f t="shared" si="92"/>
        <v/>
      </c>
      <c r="D973" s="34"/>
      <c r="E973" s="33" t="str">
        <f t="shared" si="93"/>
        <v/>
      </c>
      <c r="F973" s="33" t="str">
        <f t="shared" si="94"/>
        <v/>
      </c>
      <c r="G973" s="35"/>
      <c r="H973" s="35"/>
      <c r="I973" s="33"/>
      <c r="J973" s="33" t="str">
        <f t="shared" si="95"/>
        <v/>
      </c>
      <c r="K973" s="36"/>
      <c r="L973" s="37"/>
      <c r="M973" s="37"/>
      <c r="N973" s="37"/>
      <c r="O973" s="37"/>
      <c r="P973" s="37"/>
      <c r="Q973" s="37"/>
      <c r="R973" s="37"/>
      <c r="S973" s="37"/>
      <c r="T973" s="38"/>
      <c r="U973" s="40"/>
      <c r="V973" s="40"/>
      <c r="W973" s="40"/>
      <c r="X973" s="41"/>
      <c r="Y973" s="37"/>
      <c r="Z973" s="37"/>
      <c r="AA973" s="37"/>
      <c r="AB973" s="37"/>
      <c r="AC973" s="37"/>
      <c r="AD973" s="40"/>
      <c r="AE973" s="40"/>
      <c r="AF973" s="40"/>
      <c r="AG973" s="42"/>
      <c r="AH973" s="36"/>
      <c r="AI973" s="36"/>
    </row>
    <row r="974" spans="1:35" x14ac:dyDescent="0.3">
      <c r="A974" s="32" t="str">
        <f t="shared" si="90"/>
        <v/>
      </c>
      <c r="B974" s="33" t="str">
        <f t="shared" si="91"/>
        <v/>
      </c>
      <c r="C974" s="33" t="str">
        <f t="shared" si="92"/>
        <v/>
      </c>
      <c r="D974" s="34"/>
      <c r="E974" s="33" t="str">
        <f t="shared" si="93"/>
        <v/>
      </c>
      <c r="F974" s="33" t="str">
        <f t="shared" si="94"/>
        <v/>
      </c>
      <c r="G974" s="35"/>
      <c r="H974" s="35"/>
      <c r="I974" s="33"/>
      <c r="J974" s="33" t="str">
        <f t="shared" si="95"/>
        <v/>
      </c>
      <c r="K974" s="36"/>
      <c r="L974" s="37"/>
      <c r="M974" s="37"/>
      <c r="N974" s="37"/>
      <c r="O974" s="37"/>
      <c r="P974" s="37"/>
      <c r="Q974" s="37"/>
      <c r="R974" s="37"/>
      <c r="S974" s="37"/>
      <c r="T974" s="38"/>
      <c r="U974" s="40"/>
      <c r="V974" s="40"/>
      <c r="W974" s="40"/>
      <c r="X974" s="41"/>
      <c r="Y974" s="37"/>
      <c r="Z974" s="37"/>
      <c r="AA974" s="37"/>
      <c r="AB974" s="37"/>
      <c r="AC974" s="37"/>
      <c r="AD974" s="40"/>
      <c r="AE974" s="40"/>
      <c r="AF974" s="40"/>
      <c r="AG974" s="42"/>
      <c r="AH974" s="36"/>
      <c r="AI974" s="36"/>
    </row>
    <row r="975" spans="1:35" x14ac:dyDescent="0.3">
      <c r="A975" s="32" t="str">
        <f t="shared" si="90"/>
        <v/>
      </c>
      <c r="B975" s="33" t="str">
        <f t="shared" si="91"/>
        <v/>
      </c>
      <c r="C975" s="33" t="str">
        <f t="shared" si="92"/>
        <v/>
      </c>
      <c r="D975" s="34"/>
      <c r="E975" s="33" t="str">
        <f t="shared" si="93"/>
        <v/>
      </c>
      <c r="F975" s="33" t="str">
        <f t="shared" si="94"/>
        <v/>
      </c>
      <c r="G975" s="35"/>
      <c r="H975" s="35"/>
      <c r="I975" s="33"/>
      <c r="J975" s="33" t="str">
        <f t="shared" si="95"/>
        <v/>
      </c>
      <c r="K975" s="36"/>
      <c r="L975" s="37"/>
      <c r="M975" s="37"/>
      <c r="N975" s="37"/>
      <c r="O975" s="37"/>
      <c r="P975" s="37"/>
      <c r="Q975" s="37"/>
      <c r="R975" s="37"/>
      <c r="S975" s="37"/>
      <c r="T975" s="38"/>
      <c r="U975" s="40"/>
      <c r="V975" s="40"/>
      <c r="W975" s="40"/>
      <c r="X975" s="41"/>
      <c r="Y975" s="37"/>
      <c r="Z975" s="37"/>
      <c r="AA975" s="37"/>
      <c r="AB975" s="37"/>
      <c r="AC975" s="37"/>
      <c r="AD975" s="40"/>
      <c r="AE975" s="40"/>
      <c r="AF975" s="40"/>
      <c r="AG975" s="42"/>
      <c r="AH975" s="36"/>
      <c r="AI975" s="36"/>
    </row>
    <row r="976" spans="1:35" x14ac:dyDescent="0.3">
      <c r="A976" s="32" t="str">
        <f t="shared" si="90"/>
        <v/>
      </c>
      <c r="B976" s="33" t="str">
        <f t="shared" si="91"/>
        <v/>
      </c>
      <c r="C976" s="33" t="str">
        <f t="shared" si="92"/>
        <v/>
      </c>
      <c r="D976" s="34"/>
      <c r="E976" s="33" t="str">
        <f t="shared" si="93"/>
        <v/>
      </c>
      <c r="F976" s="33" t="str">
        <f t="shared" si="94"/>
        <v/>
      </c>
      <c r="G976" s="35"/>
      <c r="H976" s="35"/>
      <c r="I976" s="33"/>
      <c r="J976" s="33" t="str">
        <f t="shared" si="95"/>
        <v/>
      </c>
      <c r="K976" s="36"/>
      <c r="L976" s="37"/>
      <c r="M976" s="37"/>
      <c r="N976" s="37"/>
      <c r="O976" s="37"/>
      <c r="P976" s="37"/>
      <c r="Q976" s="37"/>
      <c r="R976" s="37"/>
      <c r="S976" s="37"/>
      <c r="T976" s="38"/>
      <c r="U976" s="40"/>
      <c r="V976" s="40"/>
      <c r="W976" s="40"/>
      <c r="X976" s="41"/>
      <c r="Y976" s="37"/>
      <c r="Z976" s="37"/>
      <c r="AA976" s="37"/>
      <c r="AB976" s="37"/>
      <c r="AC976" s="37"/>
      <c r="AD976" s="40"/>
      <c r="AE976" s="40"/>
      <c r="AF976" s="40"/>
      <c r="AG976" s="42"/>
      <c r="AH976" s="36"/>
      <c r="AI976" s="36"/>
    </row>
    <row r="977" spans="1:35" x14ac:dyDescent="0.3">
      <c r="A977" s="32" t="str">
        <f t="shared" ref="A977:A1015" si="96">IF($K977="", "", ROW()-15)</f>
        <v/>
      </c>
      <c r="B977" s="33" t="str">
        <f t="shared" ref="B977:B1015" si="97">IFERROR(IF(ISNUMBER(SEARCH("Q", $K977)), "Q", MID(RIGHT($J977, 4), 1, 1)), "")</f>
        <v/>
      </c>
      <c r="C977" s="33" t="str">
        <f t="shared" ref="C977:C1015" si="98">IFERROR(IF(ISNUMBER(SEARCH("Q", $K977)), LEFT($K977, LEN($K977)-15), LEFT($K977, LEN($K977)-8)), "")</f>
        <v/>
      </c>
      <c r="D977" s="34"/>
      <c r="E977" s="33" t="str">
        <f t="shared" ref="E977:E1015" si="99">IFERROR(IF($F977="", "", IF($F977="01", "최초", "추가")), " ")</f>
        <v/>
      </c>
      <c r="F977" s="33" t="str">
        <f t="shared" ref="F977:F1015" si="100">IFERROR(IF(ISNUMBER(SEARCH("Q", $K977)), MID(RIGHT($K977, 9), 1, 2), RIGHT($K977, 2)), "")</f>
        <v/>
      </c>
      <c r="G977" s="35"/>
      <c r="H977" s="35"/>
      <c r="I977" s="33"/>
      <c r="J977" s="33" t="str">
        <f t="shared" ref="J977:J1015" si="101">IFERROR(IF(ISNUMBER(SEARCH("Q", $K977)), LEFT($K977, LEN($K977)-10), LEFT($K977, LEN($K977)-3)), "")</f>
        <v/>
      </c>
      <c r="K977" s="36"/>
      <c r="L977" s="37"/>
      <c r="M977" s="37"/>
      <c r="N977" s="37"/>
      <c r="O977" s="37"/>
      <c r="P977" s="37"/>
      <c r="Q977" s="37"/>
      <c r="R977" s="37"/>
      <c r="S977" s="37"/>
      <c r="T977" s="38"/>
      <c r="U977" s="40"/>
      <c r="V977" s="40"/>
      <c r="W977" s="40"/>
      <c r="X977" s="41"/>
      <c r="Y977" s="37"/>
      <c r="Z977" s="37"/>
      <c r="AA977" s="37"/>
      <c r="AB977" s="37"/>
      <c r="AC977" s="37"/>
      <c r="AD977" s="40"/>
      <c r="AE977" s="40"/>
      <c r="AF977" s="40"/>
      <c r="AG977" s="42"/>
      <c r="AH977" s="36"/>
      <c r="AI977" s="36"/>
    </row>
    <row r="978" spans="1:35" x14ac:dyDescent="0.3">
      <c r="A978" s="32" t="str">
        <f t="shared" si="96"/>
        <v/>
      </c>
      <c r="B978" s="33" t="str">
        <f t="shared" si="97"/>
        <v/>
      </c>
      <c r="C978" s="33" t="str">
        <f t="shared" si="98"/>
        <v/>
      </c>
      <c r="D978" s="34"/>
      <c r="E978" s="33" t="str">
        <f t="shared" si="99"/>
        <v/>
      </c>
      <c r="F978" s="33" t="str">
        <f t="shared" si="100"/>
        <v/>
      </c>
      <c r="G978" s="35"/>
      <c r="H978" s="35"/>
      <c r="I978" s="33"/>
      <c r="J978" s="33" t="str">
        <f t="shared" si="101"/>
        <v/>
      </c>
      <c r="K978" s="36"/>
      <c r="L978" s="37"/>
      <c r="M978" s="37"/>
      <c r="N978" s="37"/>
      <c r="O978" s="37"/>
      <c r="P978" s="37"/>
      <c r="Q978" s="37"/>
      <c r="R978" s="37"/>
      <c r="S978" s="37"/>
      <c r="T978" s="38"/>
      <c r="U978" s="40"/>
      <c r="V978" s="40"/>
      <c r="W978" s="40"/>
      <c r="X978" s="41"/>
      <c r="Y978" s="37"/>
      <c r="Z978" s="37"/>
      <c r="AA978" s="37"/>
      <c r="AB978" s="37"/>
      <c r="AC978" s="37"/>
      <c r="AD978" s="40"/>
      <c r="AE978" s="40"/>
      <c r="AF978" s="40"/>
      <c r="AG978" s="42"/>
      <c r="AH978" s="36"/>
      <c r="AI978" s="36"/>
    </row>
    <row r="979" spans="1:35" x14ac:dyDescent="0.3">
      <c r="A979" s="32" t="str">
        <f t="shared" si="96"/>
        <v/>
      </c>
      <c r="B979" s="33" t="str">
        <f t="shared" si="97"/>
        <v/>
      </c>
      <c r="C979" s="33" t="str">
        <f t="shared" si="98"/>
        <v/>
      </c>
      <c r="D979" s="34"/>
      <c r="E979" s="33" t="str">
        <f t="shared" si="99"/>
        <v/>
      </c>
      <c r="F979" s="33" t="str">
        <f t="shared" si="100"/>
        <v/>
      </c>
      <c r="G979" s="35"/>
      <c r="H979" s="35"/>
      <c r="I979" s="33"/>
      <c r="J979" s="33" t="str">
        <f t="shared" si="101"/>
        <v/>
      </c>
      <c r="K979" s="36"/>
      <c r="L979" s="37"/>
      <c r="M979" s="37"/>
      <c r="N979" s="37"/>
      <c r="O979" s="37"/>
      <c r="P979" s="37"/>
      <c r="Q979" s="37"/>
      <c r="R979" s="37"/>
      <c r="S979" s="37"/>
      <c r="T979" s="38"/>
      <c r="U979" s="40"/>
      <c r="V979" s="40"/>
      <c r="W979" s="40"/>
      <c r="X979" s="41"/>
      <c r="Y979" s="37"/>
      <c r="Z979" s="37"/>
      <c r="AA979" s="37"/>
      <c r="AB979" s="37"/>
      <c r="AC979" s="37"/>
      <c r="AD979" s="40"/>
      <c r="AE979" s="40"/>
      <c r="AF979" s="40"/>
      <c r="AG979" s="42"/>
      <c r="AH979" s="36"/>
      <c r="AI979" s="36"/>
    </row>
    <row r="980" spans="1:35" x14ac:dyDescent="0.3">
      <c r="A980" s="32" t="str">
        <f t="shared" si="96"/>
        <v/>
      </c>
      <c r="B980" s="33" t="str">
        <f t="shared" si="97"/>
        <v/>
      </c>
      <c r="C980" s="33" t="str">
        <f t="shared" si="98"/>
        <v/>
      </c>
      <c r="D980" s="34"/>
      <c r="E980" s="33" t="str">
        <f t="shared" si="99"/>
        <v/>
      </c>
      <c r="F980" s="33" t="str">
        <f t="shared" si="100"/>
        <v/>
      </c>
      <c r="G980" s="35"/>
      <c r="H980" s="35"/>
      <c r="I980" s="33"/>
      <c r="J980" s="33" t="str">
        <f t="shared" si="101"/>
        <v/>
      </c>
      <c r="K980" s="36"/>
      <c r="L980" s="37"/>
      <c r="M980" s="37"/>
      <c r="N980" s="37"/>
      <c r="O980" s="37"/>
      <c r="P980" s="37"/>
      <c r="Q980" s="37"/>
      <c r="R980" s="37"/>
      <c r="S980" s="37"/>
      <c r="T980" s="38"/>
      <c r="U980" s="40"/>
      <c r="V980" s="40"/>
      <c r="W980" s="40"/>
      <c r="X980" s="41"/>
      <c r="Y980" s="37"/>
      <c r="Z980" s="37"/>
      <c r="AA980" s="37"/>
      <c r="AB980" s="37"/>
      <c r="AC980" s="37"/>
      <c r="AD980" s="40"/>
      <c r="AE980" s="40"/>
      <c r="AF980" s="40"/>
      <c r="AG980" s="42"/>
      <c r="AH980" s="36"/>
      <c r="AI980" s="36"/>
    </row>
    <row r="981" spans="1:35" x14ac:dyDescent="0.3">
      <c r="A981" s="32" t="str">
        <f t="shared" si="96"/>
        <v/>
      </c>
      <c r="B981" s="33" t="str">
        <f t="shared" si="97"/>
        <v/>
      </c>
      <c r="C981" s="33" t="str">
        <f t="shared" si="98"/>
        <v/>
      </c>
      <c r="D981" s="34"/>
      <c r="E981" s="33" t="str">
        <f t="shared" si="99"/>
        <v/>
      </c>
      <c r="F981" s="33" t="str">
        <f t="shared" si="100"/>
        <v/>
      </c>
      <c r="G981" s="35"/>
      <c r="H981" s="35"/>
      <c r="I981" s="33"/>
      <c r="J981" s="33" t="str">
        <f t="shared" si="101"/>
        <v/>
      </c>
      <c r="K981" s="36"/>
      <c r="L981" s="37"/>
      <c r="M981" s="37"/>
      <c r="N981" s="37"/>
      <c r="O981" s="37"/>
      <c r="P981" s="37"/>
      <c r="Q981" s="37"/>
      <c r="R981" s="37"/>
      <c r="S981" s="37"/>
      <c r="T981" s="38"/>
      <c r="U981" s="40"/>
      <c r="V981" s="40"/>
      <c r="W981" s="40"/>
      <c r="X981" s="41"/>
      <c r="Y981" s="37"/>
      <c r="Z981" s="37"/>
      <c r="AA981" s="37"/>
      <c r="AB981" s="37"/>
      <c r="AC981" s="37"/>
      <c r="AD981" s="40"/>
      <c r="AE981" s="40"/>
      <c r="AF981" s="40"/>
      <c r="AG981" s="42"/>
      <c r="AH981" s="36"/>
      <c r="AI981" s="36"/>
    </row>
    <row r="982" spans="1:35" x14ac:dyDescent="0.3">
      <c r="A982" s="32" t="str">
        <f t="shared" si="96"/>
        <v/>
      </c>
      <c r="B982" s="33" t="str">
        <f t="shared" si="97"/>
        <v/>
      </c>
      <c r="C982" s="33" t="str">
        <f t="shared" si="98"/>
        <v/>
      </c>
      <c r="D982" s="34"/>
      <c r="E982" s="33" t="str">
        <f t="shared" si="99"/>
        <v/>
      </c>
      <c r="F982" s="33" t="str">
        <f t="shared" si="100"/>
        <v/>
      </c>
      <c r="G982" s="35"/>
      <c r="H982" s="35"/>
      <c r="I982" s="33"/>
      <c r="J982" s="33" t="str">
        <f t="shared" si="101"/>
        <v/>
      </c>
      <c r="K982" s="36"/>
      <c r="L982" s="37"/>
      <c r="M982" s="37"/>
      <c r="N982" s="37"/>
      <c r="O982" s="37"/>
      <c r="P982" s="37"/>
      <c r="Q982" s="37"/>
      <c r="R982" s="37"/>
      <c r="S982" s="37"/>
      <c r="T982" s="38"/>
      <c r="U982" s="40"/>
      <c r="V982" s="40"/>
      <c r="W982" s="40"/>
      <c r="X982" s="41"/>
      <c r="Y982" s="37"/>
      <c r="Z982" s="37"/>
      <c r="AA982" s="37"/>
      <c r="AB982" s="37"/>
      <c r="AC982" s="37"/>
      <c r="AD982" s="40"/>
      <c r="AE982" s="40"/>
      <c r="AF982" s="40"/>
      <c r="AG982" s="42"/>
      <c r="AH982" s="36"/>
      <c r="AI982" s="36"/>
    </row>
    <row r="983" spans="1:35" x14ac:dyDescent="0.3">
      <c r="A983" s="32" t="str">
        <f t="shared" si="96"/>
        <v/>
      </c>
      <c r="B983" s="33" t="str">
        <f t="shared" si="97"/>
        <v/>
      </c>
      <c r="C983" s="33" t="str">
        <f t="shared" si="98"/>
        <v/>
      </c>
      <c r="D983" s="34"/>
      <c r="E983" s="33" t="str">
        <f t="shared" si="99"/>
        <v/>
      </c>
      <c r="F983" s="33" t="str">
        <f t="shared" si="100"/>
        <v/>
      </c>
      <c r="G983" s="35"/>
      <c r="H983" s="35"/>
      <c r="I983" s="33"/>
      <c r="J983" s="33" t="str">
        <f t="shared" si="101"/>
        <v/>
      </c>
      <c r="K983" s="36"/>
      <c r="L983" s="37"/>
      <c r="M983" s="37"/>
      <c r="N983" s="37"/>
      <c r="O983" s="37"/>
      <c r="P983" s="37"/>
      <c r="Q983" s="37"/>
      <c r="R983" s="37"/>
      <c r="S983" s="37"/>
      <c r="T983" s="38"/>
      <c r="U983" s="40"/>
      <c r="V983" s="40"/>
      <c r="W983" s="40"/>
      <c r="X983" s="41"/>
      <c r="Y983" s="37"/>
      <c r="Z983" s="37"/>
      <c r="AA983" s="37"/>
      <c r="AB983" s="37"/>
      <c r="AC983" s="37"/>
      <c r="AD983" s="40"/>
      <c r="AE983" s="40"/>
      <c r="AF983" s="40"/>
      <c r="AG983" s="42"/>
      <c r="AH983" s="36"/>
      <c r="AI983" s="36"/>
    </row>
    <row r="984" spans="1:35" x14ac:dyDescent="0.3">
      <c r="A984" s="32" t="str">
        <f t="shared" si="96"/>
        <v/>
      </c>
      <c r="B984" s="33" t="str">
        <f t="shared" si="97"/>
        <v/>
      </c>
      <c r="C984" s="33" t="str">
        <f t="shared" si="98"/>
        <v/>
      </c>
      <c r="D984" s="34"/>
      <c r="E984" s="33" t="str">
        <f t="shared" si="99"/>
        <v/>
      </c>
      <c r="F984" s="33" t="str">
        <f t="shared" si="100"/>
        <v/>
      </c>
      <c r="G984" s="35"/>
      <c r="H984" s="35"/>
      <c r="I984" s="33"/>
      <c r="J984" s="33" t="str">
        <f t="shared" si="101"/>
        <v/>
      </c>
      <c r="K984" s="36"/>
      <c r="L984" s="37"/>
      <c r="M984" s="37"/>
      <c r="N984" s="37"/>
      <c r="O984" s="37"/>
      <c r="P984" s="37"/>
      <c r="Q984" s="37"/>
      <c r="R984" s="37"/>
      <c r="S984" s="37"/>
      <c r="T984" s="38"/>
      <c r="U984" s="40"/>
      <c r="V984" s="40"/>
      <c r="W984" s="40"/>
      <c r="X984" s="41"/>
      <c r="Y984" s="37"/>
      <c r="Z984" s="37"/>
      <c r="AA984" s="37"/>
      <c r="AB984" s="37"/>
      <c r="AC984" s="37"/>
      <c r="AD984" s="40"/>
      <c r="AE984" s="40"/>
      <c r="AF984" s="40"/>
      <c r="AG984" s="42"/>
      <c r="AH984" s="36"/>
      <c r="AI984" s="36"/>
    </row>
    <row r="985" spans="1:35" x14ac:dyDescent="0.3">
      <c r="A985" s="32" t="str">
        <f t="shared" si="96"/>
        <v/>
      </c>
      <c r="B985" s="33" t="str">
        <f t="shared" si="97"/>
        <v/>
      </c>
      <c r="C985" s="33" t="str">
        <f t="shared" si="98"/>
        <v/>
      </c>
      <c r="D985" s="34"/>
      <c r="E985" s="33" t="str">
        <f t="shared" si="99"/>
        <v/>
      </c>
      <c r="F985" s="33" t="str">
        <f t="shared" si="100"/>
        <v/>
      </c>
      <c r="G985" s="35"/>
      <c r="H985" s="35"/>
      <c r="I985" s="33"/>
      <c r="J985" s="33" t="str">
        <f t="shared" si="101"/>
        <v/>
      </c>
      <c r="K985" s="36"/>
      <c r="L985" s="37"/>
      <c r="M985" s="37"/>
      <c r="N985" s="37"/>
      <c r="O985" s="37"/>
      <c r="P985" s="37"/>
      <c r="Q985" s="37"/>
      <c r="R985" s="37"/>
      <c r="S985" s="37"/>
      <c r="T985" s="38"/>
      <c r="U985" s="40"/>
      <c r="V985" s="40"/>
      <c r="W985" s="40"/>
      <c r="X985" s="41"/>
      <c r="Y985" s="37"/>
      <c r="Z985" s="37"/>
      <c r="AA985" s="37"/>
      <c r="AB985" s="37"/>
      <c r="AC985" s="37"/>
      <c r="AD985" s="40"/>
      <c r="AE985" s="40"/>
      <c r="AF985" s="40"/>
      <c r="AG985" s="42"/>
      <c r="AH985" s="36"/>
      <c r="AI985" s="36"/>
    </row>
    <row r="986" spans="1:35" x14ac:dyDescent="0.3">
      <c r="A986" s="32" t="str">
        <f t="shared" si="96"/>
        <v/>
      </c>
      <c r="B986" s="33" t="str">
        <f t="shared" si="97"/>
        <v/>
      </c>
      <c r="C986" s="33" t="str">
        <f t="shared" si="98"/>
        <v/>
      </c>
      <c r="D986" s="34"/>
      <c r="E986" s="33" t="str">
        <f t="shared" si="99"/>
        <v/>
      </c>
      <c r="F986" s="33" t="str">
        <f t="shared" si="100"/>
        <v/>
      </c>
      <c r="G986" s="35"/>
      <c r="H986" s="35"/>
      <c r="I986" s="33"/>
      <c r="J986" s="33" t="str">
        <f t="shared" si="101"/>
        <v/>
      </c>
      <c r="K986" s="36"/>
      <c r="L986" s="37"/>
      <c r="M986" s="37"/>
      <c r="N986" s="37"/>
      <c r="O986" s="37"/>
      <c r="P986" s="37"/>
      <c r="Q986" s="37"/>
      <c r="R986" s="37"/>
      <c r="S986" s="37"/>
      <c r="T986" s="38"/>
      <c r="U986" s="40"/>
      <c r="V986" s="40"/>
      <c r="W986" s="40"/>
      <c r="X986" s="41"/>
      <c r="Y986" s="37"/>
      <c r="Z986" s="37"/>
      <c r="AA986" s="37"/>
      <c r="AB986" s="37"/>
      <c r="AC986" s="37"/>
      <c r="AD986" s="40"/>
      <c r="AE986" s="40"/>
      <c r="AF986" s="40"/>
      <c r="AG986" s="42"/>
      <c r="AH986" s="36"/>
      <c r="AI986" s="36"/>
    </row>
    <row r="987" spans="1:35" x14ac:dyDescent="0.3">
      <c r="A987" s="32" t="str">
        <f t="shared" si="96"/>
        <v/>
      </c>
      <c r="B987" s="33" t="str">
        <f t="shared" si="97"/>
        <v/>
      </c>
      <c r="C987" s="33" t="str">
        <f t="shared" si="98"/>
        <v/>
      </c>
      <c r="D987" s="34"/>
      <c r="E987" s="33" t="str">
        <f t="shared" si="99"/>
        <v/>
      </c>
      <c r="F987" s="33" t="str">
        <f t="shared" si="100"/>
        <v/>
      </c>
      <c r="G987" s="35"/>
      <c r="H987" s="35"/>
      <c r="I987" s="33"/>
      <c r="J987" s="33" t="str">
        <f t="shared" si="101"/>
        <v/>
      </c>
      <c r="K987" s="36"/>
      <c r="L987" s="37"/>
      <c r="M987" s="37"/>
      <c r="N987" s="37"/>
      <c r="O987" s="37"/>
      <c r="P987" s="37"/>
      <c r="Q987" s="37"/>
      <c r="R987" s="37"/>
      <c r="S987" s="37"/>
      <c r="T987" s="38"/>
      <c r="U987" s="40"/>
      <c r="V987" s="40"/>
      <c r="W987" s="40"/>
      <c r="X987" s="41"/>
      <c r="Y987" s="37"/>
      <c r="Z987" s="37"/>
      <c r="AA987" s="37"/>
      <c r="AB987" s="37"/>
      <c r="AC987" s="37"/>
      <c r="AD987" s="40"/>
      <c r="AE987" s="40"/>
      <c r="AF987" s="40"/>
      <c r="AG987" s="42"/>
      <c r="AH987" s="36"/>
      <c r="AI987" s="36"/>
    </row>
    <row r="988" spans="1:35" x14ac:dyDescent="0.3">
      <c r="A988" s="32" t="str">
        <f t="shared" si="96"/>
        <v/>
      </c>
      <c r="B988" s="33" t="str">
        <f t="shared" si="97"/>
        <v/>
      </c>
      <c r="C988" s="33" t="str">
        <f t="shared" si="98"/>
        <v/>
      </c>
      <c r="D988" s="34"/>
      <c r="E988" s="33" t="str">
        <f t="shared" si="99"/>
        <v/>
      </c>
      <c r="F988" s="33" t="str">
        <f t="shared" si="100"/>
        <v/>
      </c>
      <c r="G988" s="35"/>
      <c r="H988" s="35"/>
      <c r="I988" s="33"/>
      <c r="J988" s="33" t="str">
        <f t="shared" si="101"/>
        <v/>
      </c>
      <c r="K988" s="36"/>
      <c r="L988" s="37"/>
      <c r="M988" s="37"/>
      <c r="N988" s="37"/>
      <c r="O988" s="37"/>
      <c r="P988" s="37"/>
      <c r="Q988" s="37"/>
      <c r="R988" s="37"/>
      <c r="S988" s="37"/>
      <c r="T988" s="38"/>
      <c r="U988" s="40"/>
      <c r="V988" s="40"/>
      <c r="W988" s="40"/>
      <c r="X988" s="41"/>
      <c r="Y988" s="37"/>
      <c r="Z988" s="37"/>
      <c r="AA988" s="37"/>
      <c r="AB988" s="37"/>
      <c r="AC988" s="37"/>
      <c r="AD988" s="40"/>
      <c r="AE988" s="40"/>
      <c r="AF988" s="40"/>
      <c r="AG988" s="42"/>
      <c r="AH988" s="36"/>
      <c r="AI988" s="36"/>
    </row>
    <row r="989" spans="1:35" x14ac:dyDescent="0.3">
      <c r="A989" s="32" t="str">
        <f t="shared" si="96"/>
        <v/>
      </c>
      <c r="B989" s="33" t="str">
        <f t="shared" si="97"/>
        <v/>
      </c>
      <c r="C989" s="33" t="str">
        <f t="shared" si="98"/>
        <v/>
      </c>
      <c r="D989" s="34"/>
      <c r="E989" s="33" t="str">
        <f t="shared" si="99"/>
        <v/>
      </c>
      <c r="F989" s="33" t="str">
        <f t="shared" si="100"/>
        <v/>
      </c>
      <c r="G989" s="35"/>
      <c r="H989" s="35"/>
      <c r="I989" s="33"/>
      <c r="J989" s="33" t="str">
        <f t="shared" si="101"/>
        <v/>
      </c>
      <c r="K989" s="36"/>
      <c r="L989" s="37"/>
      <c r="M989" s="37"/>
      <c r="N989" s="37"/>
      <c r="O989" s="37"/>
      <c r="P989" s="37"/>
      <c r="Q989" s="37"/>
      <c r="R989" s="37"/>
      <c r="S989" s="37"/>
      <c r="T989" s="38"/>
      <c r="U989" s="40"/>
      <c r="V989" s="40"/>
      <c r="W989" s="40"/>
      <c r="X989" s="41"/>
      <c r="Y989" s="37"/>
      <c r="Z989" s="37"/>
      <c r="AA989" s="37"/>
      <c r="AB989" s="37"/>
      <c r="AC989" s="37"/>
      <c r="AD989" s="40"/>
      <c r="AE989" s="40"/>
      <c r="AF989" s="40"/>
      <c r="AG989" s="42"/>
      <c r="AH989" s="36"/>
      <c r="AI989" s="36"/>
    </row>
    <row r="990" spans="1:35" x14ac:dyDescent="0.3">
      <c r="A990" s="32" t="str">
        <f t="shared" si="96"/>
        <v/>
      </c>
      <c r="B990" s="33" t="str">
        <f t="shared" si="97"/>
        <v/>
      </c>
      <c r="C990" s="33" t="str">
        <f t="shared" si="98"/>
        <v/>
      </c>
      <c r="D990" s="34"/>
      <c r="E990" s="33" t="str">
        <f t="shared" si="99"/>
        <v/>
      </c>
      <c r="F990" s="33" t="str">
        <f t="shared" si="100"/>
        <v/>
      </c>
      <c r="G990" s="35"/>
      <c r="H990" s="35"/>
      <c r="I990" s="33"/>
      <c r="J990" s="33" t="str">
        <f t="shared" si="101"/>
        <v/>
      </c>
      <c r="K990" s="36"/>
      <c r="L990" s="37"/>
      <c r="M990" s="37"/>
      <c r="N990" s="37"/>
      <c r="O990" s="37"/>
      <c r="P990" s="37"/>
      <c r="Q990" s="37"/>
      <c r="R990" s="37"/>
      <c r="S990" s="37"/>
      <c r="T990" s="38"/>
      <c r="U990" s="40"/>
      <c r="V990" s="40"/>
      <c r="W990" s="40"/>
      <c r="X990" s="41"/>
      <c r="Y990" s="37"/>
      <c r="Z990" s="37"/>
      <c r="AA990" s="37"/>
      <c r="AB990" s="37"/>
      <c r="AC990" s="37"/>
      <c r="AD990" s="40"/>
      <c r="AE990" s="40"/>
      <c r="AF990" s="40"/>
      <c r="AG990" s="42"/>
      <c r="AH990" s="36"/>
      <c r="AI990" s="36"/>
    </row>
    <row r="991" spans="1:35" x14ac:dyDescent="0.3">
      <c r="A991" s="32" t="str">
        <f t="shared" si="96"/>
        <v/>
      </c>
      <c r="B991" s="33" t="str">
        <f t="shared" si="97"/>
        <v/>
      </c>
      <c r="C991" s="33" t="str">
        <f t="shared" si="98"/>
        <v/>
      </c>
      <c r="D991" s="34"/>
      <c r="E991" s="33" t="str">
        <f t="shared" si="99"/>
        <v/>
      </c>
      <c r="F991" s="33" t="str">
        <f t="shared" si="100"/>
        <v/>
      </c>
      <c r="G991" s="35"/>
      <c r="H991" s="35"/>
      <c r="I991" s="33"/>
      <c r="J991" s="33" t="str">
        <f t="shared" si="101"/>
        <v/>
      </c>
      <c r="K991" s="36"/>
      <c r="L991" s="37"/>
      <c r="M991" s="37"/>
      <c r="N991" s="37"/>
      <c r="O991" s="37"/>
      <c r="P991" s="37"/>
      <c r="Q991" s="37"/>
      <c r="R991" s="37"/>
      <c r="S991" s="37"/>
      <c r="T991" s="38"/>
      <c r="U991" s="40"/>
      <c r="V991" s="40"/>
      <c r="W991" s="40"/>
      <c r="X991" s="41"/>
      <c r="Y991" s="37"/>
      <c r="Z991" s="37"/>
      <c r="AA991" s="37"/>
      <c r="AB991" s="37"/>
      <c r="AC991" s="37"/>
      <c r="AD991" s="40"/>
      <c r="AE991" s="40"/>
      <c r="AF991" s="40"/>
      <c r="AG991" s="42"/>
      <c r="AH991" s="36"/>
      <c r="AI991" s="36"/>
    </row>
    <row r="992" spans="1:35" x14ac:dyDescent="0.3">
      <c r="A992" s="32" t="str">
        <f t="shared" si="96"/>
        <v/>
      </c>
      <c r="B992" s="33" t="str">
        <f t="shared" si="97"/>
        <v/>
      </c>
      <c r="C992" s="33" t="str">
        <f t="shared" si="98"/>
        <v/>
      </c>
      <c r="D992" s="34"/>
      <c r="E992" s="33" t="str">
        <f t="shared" si="99"/>
        <v/>
      </c>
      <c r="F992" s="33" t="str">
        <f t="shared" si="100"/>
        <v/>
      </c>
      <c r="G992" s="35"/>
      <c r="H992" s="35"/>
      <c r="I992" s="33"/>
      <c r="J992" s="33" t="str">
        <f t="shared" si="101"/>
        <v/>
      </c>
      <c r="K992" s="36"/>
      <c r="L992" s="37"/>
      <c r="M992" s="37"/>
      <c r="N992" s="37"/>
      <c r="O992" s="37"/>
      <c r="P992" s="37"/>
      <c r="Q992" s="37"/>
      <c r="R992" s="37"/>
      <c r="S992" s="37"/>
      <c r="T992" s="38"/>
      <c r="U992" s="40"/>
      <c r="V992" s="40"/>
      <c r="W992" s="40"/>
      <c r="X992" s="41"/>
      <c r="Y992" s="37"/>
      <c r="Z992" s="37"/>
      <c r="AA992" s="37"/>
      <c r="AB992" s="37"/>
      <c r="AC992" s="37"/>
      <c r="AD992" s="40"/>
      <c r="AE992" s="40"/>
      <c r="AF992" s="40"/>
      <c r="AG992" s="42"/>
      <c r="AH992" s="36"/>
      <c r="AI992" s="36"/>
    </row>
    <row r="993" spans="1:35" x14ac:dyDescent="0.3">
      <c r="A993" s="32" t="str">
        <f t="shared" si="96"/>
        <v/>
      </c>
      <c r="B993" s="33" t="str">
        <f t="shared" si="97"/>
        <v/>
      </c>
      <c r="C993" s="33" t="str">
        <f t="shared" si="98"/>
        <v/>
      </c>
      <c r="D993" s="34"/>
      <c r="E993" s="33" t="str">
        <f t="shared" si="99"/>
        <v/>
      </c>
      <c r="F993" s="33" t="str">
        <f t="shared" si="100"/>
        <v/>
      </c>
      <c r="G993" s="35"/>
      <c r="H993" s="35"/>
      <c r="I993" s="33"/>
      <c r="J993" s="33" t="str">
        <f t="shared" si="101"/>
        <v/>
      </c>
      <c r="K993" s="36"/>
      <c r="L993" s="37"/>
      <c r="M993" s="37"/>
      <c r="N993" s="37"/>
      <c r="O993" s="37"/>
      <c r="P993" s="37"/>
      <c r="Q993" s="37"/>
      <c r="R993" s="37"/>
      <c r="S993" s="37"/>
      <c r="T993" s="38"/>
      <c r="U993" s="40"/>
      <c r="V993" s="40"/>
      <c r="W993" s="40"/>
      <c r="X993" s="41"/>
      <c r="Y993" s="37"/>
      <c r="Z993" s="37"/>
      <c r="AA993" s="37"/>
      <c r="AB993" s="37"/>
      <c r="AC993" s="37"/>
      <c r="AD993" s="40"/>
      <c r="AE993" s="40"/>
      <c r="AF993" s="40"/>
      <c r="AG993" s="42"/>
      <c r="AH993" s="36"/>
      <c r="AI993" s="36"/>
    </row>
    <row r="994" spans="1:35" x14ac:dyDescent="0.3">
      <c r="A994" s="32" t="str">
        <f t="shared" si="96"/>
        <v/>
      </c>
      <c r="B994" s="33" t="str">
        <f t="shared" si="97"/>
        <v/>
      </c>
      <c r="C994" s="33" t="str">
        <f t="shared" si="98"/>
        <v/>
      </c>
      <c r="D994" s="34"/>
      <c r="E994" s="33" t="str">
        <f t="shared" si="99"/>
        <v/>
      </c>
      <c r="F994" s="33" t="str">
        <f t="shared" si="100"/>
        <v/>
      </c>
      <c r="G994" s="35"/>
      <c r="H994" s="35"/>
      <c r="I994" s="33"/>
      <c r="J994" s="33" t="str">
        <f t="shared" si="101"/>
        <v/>
      </c>
      <c r="K994" s="36"/>
      <c r="L994" s="37"/>
      <c r="M994" s="37"/>
      <c r="N994" s="37"/>
      <c r="O994" s="37"/>
      <c r="P994" s="37"/>
      <c r="Q994" s="37"/>
      <c r="R994" s="37"/>
      <c r="S994" s="37"/>
      <c r="T994" s="38"/>
      <c r="U994" s="40"/>
      <c r="V994" s="40"/>
      <c r="W994" s="40"/>
      <c r="X994" s="41"/>
      <c r="Y994" s="37"/>
      <c r="Z994" s="37"/>
      <c r="AA994" s="37"/>
      <c r="AB994" s="37"/>
      <c r="AC994" s="37"/>
      <c r="AD994" s="40"/>
      <c r="AE994" s="40"/>
      <c r="AF994" s="40"/>
      <c r="AG994" s="42"/>
      <c r="AH994" s="36"/>
      <c r="AI994" s="36"/>
    </row>
    <row r="995" spans="1:35" x14ac:dyDescent="0.3">
      <c r="A995" s="32" t="str">
        <f t="shared" si="96"/>
        <v/>
      </c>
      <c r="B995" s="33" t="str">
        <f t="shared" si="97"/>
        <v/>
      </c>
      <c r="C995" s="33" t="str">
        <f t="shared" si="98"/>
        <v/>
      </c>
      <c r="D995" s="34"/>
      <c r="E995" s="33" t="str">
        <f t="shared" si="99"/>
        <v/>
      </c>
      <c r="F995" s="33" t="str">
        <f t="shared" si="100"/>
        <v/>
      </c>
      <c r="G995" s="35"/>
      <c r="H995" s="35"/>
      <c r="I995" s="33"/>
      <c r="J995" s="33" t="str">
        <f t="shared" si="101"/>
        <v/>
      </c>
      <c r="K995" s="36"/>
      <c r="L995" s="37"/>
      <c r="M995" s="37"/>
      <c r="N995" s="37"/>
      <c r="O995" s="37"/>
      <c r="P995" s="37"/>
      <c r="Q995" s="37"/>
      <c r="R995" s="37"/>
      <c r="S995" s="37"/>
      <c r="T995" s="38"/>
      <c r="U995" s="40"/>
      <c r="V995" s="40"/>
      <c r="W995" s="40"/>
      <c r="X995" s="41"/>
      <c r="Y995" s="37"/>
      <c r="Z995" s="37"/>
      <c r="AA995" s="37"/>
      <c r="AB995" s="37"/>
      <c r="AC995" s="37"/>
      <c r="AD995" s="40"/>
      <c r="AE995" s="40"/>
      <c r="AF995" s="40"/>
      <c r="AG995" s="42"/>
      <c r="AH995" s="36"/>
      <c r="AI995" s="36"/>
    </row>
    <row r="996" spans="1:35" x14ac:dyDescent="0.3">
      <c r="A996" s="32" t="str">
        <f t="shared" si="96"/>
        <v/>
      </c>
      <c r="B996" s="33" t="str">
        <f t="shared" si="97"/>
        <v/>
      </c>
      <c r="C996" s="33" t="str">
        <f t="shared" si="98"/>
        <v/>
      </c>
      <c r="D996" s="34"/>
      <c r="E996" s="33" t="str">
        <f t="shared" si="99"/>
        <v/>
      </c>
      <c r="F996" s="33" t="str">
        <f t="shared" si="100"/>
        <v/>
      </c>
      <c r="G996" s="35"/>
      <c r="H996" s="35"/>
      <c r="I996" s="33"/>
      <c r="J996" s="33" t="str">
        <f t="shared" si="101"/>
        <v/>
      </c>
      <c r="K996" s="36"/>
      <c r="L996" s="37"/>
      <c r="M996" s="37"/>
      <c r="N996" s="37"/>
      <c r="O996" s="37"/>
      <c r="P996" s="37"/>
      <c r="Q996" s="37"/>
      <c r="R996" s="37"/>
      <c r="S996" s="37"/>
      <c r="T996" s="38"/>
      <c r="U996" s="40"/>
      <c r="V996" s="40"/>
      <c r="W996" s="40"/>
      <c r="X996" s="41"/>
      <c r="Y996" s="37"/>
      <c r="Z996" s="37"/>
      <c r="AA996" s="37"/>
      <c r="AB996" s="37"/>
      <c r="AC996" s="37"/>
      <c r="AD996" s="40"/>
      <c r="AE996" s="40"/>
      <c r="AF996" s="40"/>
      <c r="AG996" s="42"/>
      <c r="AH996" s="36"/>
      <c r="AI996" s="36"/>
    </row>
    <row r="997" spans="1:35" x14ac:dyDescent="0.3">
      <c r="A997" s="32" t="str">
        <f t="shared" si="96"/>
        <v/>
      </c>
      <c r="B997" s="33" t="str">
        <f t="shared" si="97"/>
        <v/>
      </c>
      <c r="C997" s="33" t="str">
        <f t="shared" si="98"/>
        <v/>
      </c>
      <c r="D997" s="34"/>
      <c r="E997" s="33" t="str">
        <f t="shared" si="99"/>
        <v/>
      </c>
      <c r="F997" s="33" t="str">
        <f t="shared" si="100"/>
        <v/>
      </c>
      <c r="G997" s="35"/>
      <c r="H997" s="35"/>
      <c r="I997" s="33"/>
      <c r="J997" s="33" t="str">
        <f t="shared" si="101"/>
        <v/>
      </c>
      <c r="K997" s="36"/>
      <c r="L997" s="37"/>
      <c r="M997" s="37"/>
      <c r="N997" s="37"/>
      <c r="O997" s="37"/>
      <c r="P997" s="37"/>
      <c r="Q997" s="37"/>
      <c r="R997" s="37"/>
      <c r="S997" s="37"/>
      <c r="T997" s="38"/>
      <c r="U997" s="40"/>
      <c r="V997" s="40"/>
      <c r="W997" s="40"/>
      <c r="X997" s="41"/>
      <c r="Y997" s="37"/>
      <c r="Z997" s="37"/>
      <c r="AA997" s="37"/>
      <c r="AB997" s="37"/>
      <c r="AC997" s="37"/>
      <c r="AD997" s="40"/>
      <c r="AE997" s="40"/>
      <c r="AF997" s="40"/>
      <c r="AG997" s="42"/>
      <c r="AH997" s="36"/>
      <c r="AI997" s="36"/>
    </row>
    <row r="998" spans="1:35" x14ac:dyDescent="0.3">
      <c r="A998" s="32" t="str">
        <f t="shared" si="96"/>
        <v/>
      </c>
      <c r="B998" s="33" t="str">
        <f t="shared" si="97"/>
        <v/>
      </c>
      <c r="C998" s="33" t="str">
        <f t="shared" si="98"/>
        <v/>
      </c>
      <c r="D998" s="34"/>
      <c r="E998" s="33" t="str">
        <f t="shared" si="99"/>
        <v/>
      </c>
      <c r="F998" s="33" t="str">
        <f t="shared" si="100"/>
        <v/>
      </c>
      <c r="G998" s="35"/>
      <c r="H998" s="35"/>
      <c r="I998" s="33"/>
      <c r="J998" s="33" t="str">
        <f t="shared" si="101"/>
        <v/>
      </c>
      <c r="K998" s="36"/>
      <c r="L998" s="37"/>
      <c r="M998" s="37"/>
      <c r="N998" s="37"/>
      <c r="O998" s="37"/>
      <c r="P998" s="37"/>
      <c r="Q998" s="37"/>
      <c r="R998" s="37"/>
      <c r="S998" s="37"/>
      <c r="T998" s="38"/>
      <c r="U998" s="40"/>
      <c r="V998" s="40"/>
      <c r="W998" s="40"/>
      <c r="X998" s="41"/>
      <c r="Y998" s="37"/>
      <c r="Z998" s="37"/>
      <c r="AA998" s="37"/>
      <c r="AB998" s="37"/>
      <c r="AC998" s="37"/>
      <c r="AD998" s="40"/>
      <c r="AE998" s="40"/>
      <c r="AF998" s="40"/>
      <c r="AG998" s="42"/>
      <c r="AH998" s="36"/>
      <c r="AI998" s="36"/>
    </row>
    <row r="999" spans="1:35" x14ac:dyDescent="0.3">
      <c r="A999" s="32" t="str">
        <f t="shared" si="96"/>
        <v/>
      </c>
      <c r="B999" s="33" t="str">
        <f t="shared" si="97"/>
        <v/>
      </c>
      <c r="C999" s="33" t="str">
        <f t="shared" si="98"/>
        <v/>
      </c>
      <c r="D999" s="34"/>
      <c r="E999" s="33" t="str">
        <f t="shared" si="99"/>
        <v/>
      </c>
      <c r="F999" s="33" t="str">
        <f t="shared" si="100"/>
        <v/>
      </c>
      <c r="G999" s="35"/>
      <c r="H999" s="35"/>
      <c r="I999" s="33"/>
      <c r="J999" s="33" t="str">
        <f t="shared" si="101"/>
        <v/>
      </c>
      <c r="K999" s="36"/>
      <c r="L999" s="37"/>
      <c r="M999" s="37"/>
      <c r="N999" s="37"/>
      <c r="O999" s="37"/>
      <c r="P999" s="37"/>
      <c r="Q999" s="37"/>
      <c r="R999" s="37"/>
      <c r="S999" s="37"/>
      <c r="T999" s="38"/>
      <c r="U999" s="40"/>
      <c r="V999" s="40"/>
      <c r="W999" s="40"/>
      <c r="X999" s="41"/>
      <c r="Y999" s="37"/>
      <c r="Z999" s="37"/>
      <c r="AA999" s="37"/>
      <c r="AB999" s="37"/>
      <c r="AC999" s="37"/>
      <c r="AD999" s="40"/>
      <c r="AE999" s="40"/>
      <c r="AF999" s="40"/>
      <c r="AG999" s="42"/>
      <c r="AH999" s="36"/>
      <c r="AI999" s="36"/>
    </row>
    <row r="1000" spans="1:35" x14ac:dyDescent="0.3">
      <c r="A1000" s="32" t="str">
        <f t="shared" si="96"/>
        <v/>
      </c>
      <c r="B1000" s="33" t="str">
        <f t="shared" si="97"/>
        <v/>
      </c>
      <c r="C1000" s="33" t="str">
        <f t="shared" si="98"/>
        <v/>
      </c>
      <c r="D1000" s="34"/>
      <c r="E1000" s="33" t="str">
        <f t="shared" si="99"/>
        <v/>
      </c>
      <c r="F1000" s="33" t="str">
        <f t="shared" si="100"/>
        <v/>
      </c>
      <c r="G1000" s="35"/>
      <c r="H1000" s="35"/>
      <c r="I1000" s="33"/>
      <c r="J1000" s="33" t="str">
        <f t="shared" si="101"/>
        <v/>
      </c>
      <c r="K1000" s="36"/>
      <c r="L1000" s="37"/>
      <c r="M1000" s="37"/>
      <c r="N1000" s="37"/>
      <c r="O1000" s="37"/>
      <c r="P1000" s="37"/>
      <c r="Q1000" s="37"/>
      <c r="R1000" s="37"/>
      <c r="S1000" s="37"/>
      <c r="T1000" s="38"/>
      <c r="U1000" s="40"/>
      <c r="V1000" s="40"/>
      <c r="W1000" s="40"/>
      <c r="X1000" s="41"/>
      <c r="Y1000" s="37"/>
      <c r="Z1000" s="37"/>
      <c r="AA1000" s="37"/>
      <c r="AB1000" s="37"/>
      <c r="AC1000" s="37"/>
      <c r="AD1000" s="40"/>
      <c r="AE1000" s="40"/>
      <c r="AF1000" s="40"/>
      <c r="AG1000" s="42"/>
      <c r="AH1000" s="36"/>
      <c r="AI1000" s="36"/>
    </row>
    <row r="1001" spans="1:35" x14ac:dyDescent="0.3">
      <c r="A1001" s="32" t="str">
        <f t="shared" si="96"/>
        <v/>
      </c>
      <c r="B1001" s="33" t="str">
        <f t="shared" si="97"/>
        <v/>
      </c>
      <c r="C1001" s="33" t="str">
        <f t="shared" si="98"/>
        <v/>
      </c>
      <c r="D1001" s="34"/>
      <c r="E1001" s="33" t="str">
        <f t="shared" si="99"/>
        <v/>
      </c>
      <c r="F1001" s="33" t="str">
        <f t="shared" si="100"/>
        <v/>
      </c>
      <c r="G1001" s="35"/>
      <c r="H1001" s="35"/>
      <c r="I1001" s="33"/>
      <c r="J1001" s="33" t="str">
        <f t="shared" si="101"/>
        <v/>
      </c>
      <c r="K1001" s="36"/>
      <c r="L1001" s="37"/>
      <c r="M1001" s="37"/>
      <c r="N1001" s="37"/>
      <c r="O1001" s="37"/>
      <c r="P1001" s="37"/>
      <c r="Q1001" s="37"/>
      <c r="R1001" s="37"/>
      <c r="S1001" s="37"/>
      <c r="T1001" s="38"/>
      <c r="U1001" s="40"/>
      <c r="V1001" s="40"/>
      <c r="W1001" s="40"/>
      <c r="X1001" s="41"/>
      <c r="Y1001" s="37"/>
      <c r="Z1001" s="37"/>
      <c r="AA1001" s="37"/>
      <c r="AB1001" s="37"/>
      <c r="AC1001" s="37"/>
      <c r="AD1001" s="40"/>
      <c r="AE1001" s="40"/>
      <c r="AF1001" s="40"/>
      <c r="AG1001" s="42"/>
      <c r="AH1001" s="36"/>
      <c r="AI1001" s="36"/>
    </row>
    <row r="1002" spans="1:35" x14ac:dyDescent="0.3">
      <c r="A1002" s="32" t="str">
        <f t="shared" si="96"/>
        <v/>
      </c>
      <c r="B1002" s="33" t="str">
        <f t="shared" si="97"/>
        <v/>
      </c>
      <c r="C1002" s="33" t="str">
        <f t="shared" si="98"/>
        <v/>
      </c>
      <c r="D1002" s="34"/>
      <c r="E1002" s="33" t="str">
        <f t="shared" si="99"/>
        <v/>
      </c>
      <c r="F1002" s="33" t="str">
        <f t="shared" si="100"/>
        <v/>
      </c>
      <c r="G1002" s="35"/>
      <c r="H1002" s="35"/>
      <c r="I1002" s="33"/>
      <c r="J1002" s="33" t="str">
        <f t="shared" si="101"/>
        <v/>
      </c>
      <c r="K1002" s="36"/>
      <c r="L1002" s="37"/>
      <c r="M1002" s="37"/>
      <c r="N1002" s="37"/>
      <c r="O1002" s="37"/>
      <c r="P1002" s="37"/>
      <c r="Q1002" s="37"/>
      <c r="R1002" s="37"/>
      <c r="S1002" s="37"/>
      <c r="T1002" s="38"/>
      <c r="U1002" s="40"/>
      <c r="V1002" s="40"/>
      <c r="W1002" s="40"/>
      <c r="X1002" s="41"/>
      <c r="Y1002" s="37"/>
      <c r="Z1002" s="37"/>
      <c r="AA1002" s="37"/>
      <c r="AB1002" s="37"/>
      <c r="AC1002" s="37"/>
      <c r="AD1002" s="40"/>
      <c r="AE1002" s="40"/>
      <c r="AF1002" s="40"/>
      <c r="AG1002" s="42"/>
      <c r="AH1002" s="36"/>
      <c r="AI1002" s="36"/>
    </row>
    <row r="1003" spans="1:35" x14ac:dyDescent="0.3">
      <c r="A1003" s="32" t="str">
        <f t="shared" si="96"/>
        <v/>
      </c>
      <c r="B1003" s="33" t="str">
        <f t="shared" si="97"/>
        <v/>
      </c>
      <c r="C1003" s="33" t="str">
        <f t="shared" si="98"/>
        <v/>
      </c>
      <c r="D1003" s="34"/>
      <c r="E1003" s="33" t="str">
        <f t="shared" si="99"/>
        <v/>
      </c>
      <c r="F1003" s="33" t="str">
        <f t="shared" si="100"/>
        <v/>
      </c>
      <c r="G1003" s="35"/>
      <c r="H1003" s="35"/>
      <c r="I1003" s="33"/>
      <c r="J1003" s="33" t="str">
        <f t="shared" si="101"/>
        <v/>
      </c>
      <c r="K1003" s="36"/>
      <c r="L1003" s="37"/>
      <c r="M1003" s="37"/>
      <c r="N1003" s="37"/>
      <c r="O1003" s="37"/>
      <c r="P1003" s="37"/>
      <c r="Q1003" s="37"/>
      <c r="R1003" s="37"/>
      <c r="S1003" s="37"/>
      <c r="T1003" s="38"/>
      <c r="U1003" s="40"/>
      <c r="V1003" s="40"/>
      <c r="W1003" s="40"/>
      <c r="X1003" s="41"/>
      <c r="Y1003" s="37"/>
      <c r="Z1003" s="37"/>
      <c r="AA1003" s="37"/>
      <c r="AB1003" s="37"/>
      <c r="AC1003" s="37"/>
      <c r="AD1003" s="40"/>
      <c r="AE1003" s="40"/>
      <c r="AF1003" s="40"/>
      <c r="AG1003" s="42"/>
      <c r="AH1003" s="36"/>
      <c r="AI1003" s="36"/>
    </row>
    <row r="1004" spans="1:35" x14ac:dyDescent="0.3">
      <c r="A1004" s="32" t="str">
        <f t="shared" si="96"/>
        <v/>
      </c>
      <c r="B1004" s="33" t="str">
        <f t="shared" si="97"/>
        <v/>
      </c>
      <c r="C1004" s="33" t="str">
        <f t="shared" si="98"/>
        <v/>
      </c>
      <c r="D1004" s="34"/>
      <c r="E1004" s="33" t="str">
        <f t="shared" si="99"/>
        <v/>
      </c>
      <c r="F1004" s="33" t="str">
        <f t="shared" si="100"/>
        <v/>
      </c>
      <c r="G1004" s="35"/>
      <c r="H1004" s="35"/>
      <c r="I1004" s="33"/>
      <c r="J1004" s="33" t="str">
        <f t="shared" si="101"/>
        <v/>
      </c>
      <c r="K1004" s="36"/>
      <c r="L1004" s="37"/>
      <c r="M1004" s="37"/>
      <c r="N1004" s="37"/>
      <c r="O1004" s="37"/>
      <c r="P1004" s="37"/>
      <c r="Q1004" s="37"/>
      <c r="R1004" s="37"/>
      <c r="S1004" s="37"/>
      <c r="T1004" s="38"/>
      <c r="U1004" s="40"/>
      <c r="V1004" s="40"/>
      <c r="W1004" s="40"/>
      <c r="X1004" s="41"/>
      <c r="Y1004" s="37"/>
      <c r="Z1004" s="37"/>
      <c r="AA1004" s="37"/>
      <c r="AB1004" s="37"/>
      <c r="AC1004" s="37"/>
      <c r="AD1004" s="40"/>
      <c r="AE1004" s="40"/>
      <c r="AF1004" s="40"/>
      <c r="AG1004" s="42"/>
      <c r="AH1004" s="36"/>
      <c r="AI1004" s="36"/>
    </row>
    <row r="1005" spans="1:35" x14ac:dyDescent="0.3">
      <c r="A1005" s="32" t="str">
        <f t="shared" si="96"/>
        <v/>
      </c>
      <c r="B1005" s="33" t="str">
        <f t="shared" si="97"/>
        <v/>
      </c>
      <c r="C1005" s="33" t="str">
        <f t="shared" si="98"/>
        <v/>
      </c>
      <c r="D1005" s="34"/>
      <c r="E1005" s="33" t="str">
        <f t="shared" si="99"/>
        <v/>
      </c>
      <c r="F1005" s="33" t="str">
        <f t="shared" si="100"/>
        <v/>
      </c>
      <c r="G1005" s="35"/>
      <c r="H1005" s="35"/>
      <c r="I1005" s="33"/>
      <c r="J1005" s="33" t="str">
        <f t="shared" si="101"/>
        <v/>
      </c>
      <c r="K1005" s="36"/>
      <c r="L1005" s="37"/>
      <c r="M1005" s="37"/>
      <c r="N1005" s="37"/>
      <c r="O1005" s="37"/>
      <c r="P1005" s="37"/>
      <c r="Q1005" s="37"/>
      <c r="R1005" s="37"/>
      <c r="S1005" s="37"/>
      <c r="T1005" s="38"/>
      <c r="U1005" s="40"/>
      <c r="V1005" s="40"/>
      <c r="W1005" s="40"/>
      <c r="X1005" s="41"/>
      <c r="Y1005" s="37"/>
      <c r="Z1005" s="37"/>
      <c r="AA1005" s="37"/>
      <c r="AB1005" s="37"/>
      <c r="AC1005" s="37"/>
      <c r="AD1005" s="40"/>
      <c r="AE1005" s="40"/>
      <c r="AF1005" s="40"/>
      <c r="AG1005" s="42"/>
      <c r="AH1005" s="36"/>
      <c r="AI1005" s="36"/>
    </row>
    <row r="1006" spans="1:35" x14ac:dyDescent="0.3">
      <c r="A1006" s="32" t="str">
        <f t="shared" si="96"/>
        <v/>
      </c>
      <c r="B1006" s="33" t="str">
        <f t="shared" si="97"/>
        <v/>
      </c>
      <c r="C1006" s="33" t="str">
        <f t="shared" si="98"/>
        <v/>
      </c>
      <c r="D1006" s="34"/>
      <c r="E1006" s="33" t="str">
        <f t="shared" si="99"/>
        <v/>
      </c>
      <c r="F1006" s="33" t="str">
        <f t="shared" si="100"/>
        <v/>
      </c>
      <c r="G1006" s="35"/>
      <c r="H1006" s="35"/>
      <c r="I1006" s="33"/>
      <c r="J1006" s="33" t="str">
        <f t="shared" si="101"/>
        <v/>
      </c>
      <c r="K1006" s="36"/>
      <c r="L1006" s="37"/>
      <c r="M1006" s="37"/>
      <c r="N1006" s="37"/>
      <c r="O1006" s="37"/>
      <c r="P1006" s="37"/>
      <c r="Q1006" s="37"/>
      <c r="R1006" s="37"/>
      <c r="S1006" s="37"/>
      <c r="T1006" s="38"/>
      <c r="U1006" s="40"/>
      <c r="V1006" s="40"/>
      <c r="W1006" s="40"/>
      <c r="X1006" s="41"/>
      <c r="Y1006" s="37"/>
      <c r="Z1006" s="37"/>
      <c r="AA1006" s="37"/>
      <c r="AB1006" s="37"/>
      <c r="AC1006" s="37"/>
      <c r="AD1006" s="40"/>
      <c r="AE1006" s="40"/>
      <c r="AF1006" s="40"/>
      <c r="AG1006" s="42"/>
      <c r="AH1006" s="36"/>
      <c r="AI1006" s="36"/>
    </row>
    <row r="1007" spans="1:35" x14ac:dyDescent="0.3">
      <c r="A1007" s="32" t="str">
        <f t="shared" si="96"/>
        <v/>
      </c>
      <c r="B1007" s="33" t="str">
        <f t="shared" si="97"/>
        <v/>
      </c>
      <c r="C1007" s="33" t="str">
        <f t="shared" si="98"/>
        <v/>
      </c>
      <c r="D1007" s="34"/>
      <c r="E1007" s="33" t="str">
        <f t="shared" si="99"/>
        <v/>
      </c>
      <c r="F1007" s="33" t="str">
        <f t="shared" si="100"/>
        <v/>
      </c>
      <c r="G1007" s="35"/>
      <c r="H1007" s="35"/>
      <c r="I1007" s="33"/>
      <c r="J1007" s="33" t="str">
        <f t="shared" si="101"/>
        <v/>
      </c>
      <c r="K1007" s="36"/>
      <c r="L1007" s="37"/>
      <c r="M1007" s="37"/>
      <c r="N1007" s="37"/>
      <c r="O1007" s="37"/>
      <c r="P1007" s="37"/>
      <c r="Q1007" s="37"/>
      <c r="R1007" s="37"/>
      <c r="S1007" s="37"/>
      <c r="T1007" s="38"/>
      <c r="U1007" s="40"/>
      <c r="V1007" s="40"/>
      <c r="W1007" s="40"/>
      <c r="X1007" s="41"/>
      <c r="Y1007" s="37"/>
      <c r="Z1007" s="37"/>
      <c r="AA1007" s="37"/>
      <c r="AB1007" s="37"/>
      <c r="AC1007" s="37"/>
      <c r="AD1007" s="40"/>
      <c r="AE1007" s="40"/>
      <c r="AF1007" s="40"/>
      <c r="AG1007" s="42"/>
      <c r="AH1007" s="36"/>
      <c r="AI1007" s="36"/>
    </row>
    <row r="1008" spans="1:35" x14ac:dyDescent="0.3">
      <c r="A1008" s="32" t="str">
        <f t="shared" si="96"/>
        <v/>
      </c>
      <c r="B1008" s="33" t="str">
        <f t="shared" si="97"/>
        <v/>
      </c>
      <c r="C1008" s="33" t="str">
        <f t="shared" si="98"/>
        <v/>
      </c>
      <c r="D1008" s="34"/>
      <c r="E1008" s="33" t="str">
        <f t="shared" si="99"/>
        <v/>
      </c>
      <c r="F1008" s="33" t="str">
        <f t="shared" si="100"/>
        <v/>
      </c>
      <c r="G1008" s="35"/>
      <c r="H1008" s="35"/>
      <c r="I1008" s="33"/>
      <c r="J1008" s="33" t="str">
        <f t="shared" si="101"/>
        <v/>
      </c>
      <c r="K1008" s="36"/>
      <c r="L1008" s="37"/>
      <c r="M1008" s="37"/>
      <c r="N1008" s="37"/>
      <c r="O1008" s="37"/>
      <c r="P1008" s="37"/>
      <c r="Q1008" s="37"/>
      <c r="R1008" s="37"/>
      <c r="S1008" s="37"/>
      <c r="T1008" s="38"/>
      <c r="U1008" s="40"/>
      <c r="V1008" s="40"/>
      <c r="W1008" s="40"/>
      <c r="X1008" s="41"/>
      <c r="Y1008" s="37"/>
      <c r="Z1008" s="37"/>
      <c r="AA1008" s="37"/>
      <c r="AB1008" s="37"/>
      <c r="AC1008" s="37"/>
      <c r="AD1008" s="40"/>
      <c r="AE1008" s="40"/>
      <c r="AF1008" s="40"/>
      <c r="AG1008" s="42"/>
      <c r="AH1008" s="36"/>
      <c r="AI1008" s="36"/>
    </row>
    <row r="1009" spans="1:35" x14ac:dyDescent="0.3">
      <c r="A1009" s="32" t="str">
        <f t="shared" si="96"/>
        <v/>
      </c>
      <c r="B1009" s="33" t="str">
        <f t="shared" si="97"/>
        <v/>
      </c>
      <c r="C1009" s="33" t="str">
        <f t="shared" si="98"/>
        <v/>
      </c>
      <c r="D1009" s="34"/>
      <c r="E1009" s="33" t="str">
        <f t="shared" si="99"/>
        <v/>
      </c>
      <c r="F1009" s="33" t="str">
        <f t="shared" si="100"/>
        <v/>
      </c>
      <c r="G1009" s="35"/>
      <c r="H1009" s="35"/>
      <c r="I1009" s="33"/>
      <c r="J1009" s="33" t="str">
        <f t="shared" si="101"/>
        <v/>
      </c>
      <c r="K1009" s="36"/>
      <c r="L1009" s="37"/>
      <c r="M1009" s="37"/>
      <c r="N1009" s="37"/>
      <c r="O1009" s="37"/>
      <c r="P1009" s="37"/>
      <c r="Q1009" s="37"/>
      <c r="R1009" s="37"/>
      <c r="S1009" s="37"/>
      <c r="T1009" s="38"/>
      <c r="U1009" s="40"/>
      <c r="V1009" s="40"/>
      <c r="W1009" s="40"/>
      <c r="X1009" s="41"/>
      <c r="Y1009" s="37"/>
      <c r="Z1009" s="37"/>
      <c r="AA1009" s="37"/>
      <c r="AB1009" s="37"/>
      <c r="AC1009" s="37"/>
      <c r="AD1009" s="40"/>
      <c r="AE1009" s="40"/>
      <c r="AF1009" s="40"/>
      <c r="AG1009" s="42"/>
      <c r="AH1009" s="36"/>
      <c r="AI1009" s="36"/>
    </row>
    <row r="1010" spans="1:35" x14ac:dyDescent="0.3">
      <c r="A1010" s="32" t="str">
        <f t="shared" si="96"/>
        <v/>
      </c>
      <c r="B1010" s="33" t="str">
        <f t="shared" si="97"/>
        <v/>
      </c>
      <c r="C1010" s="33" t="str">
        <f t="shared" si="98"/>
        <v/>
      </c>
      <c r="D1010" s="34"/>
      <c r="E1010" s="33" t="str">
        <f t="shared" si="99"/>
        <v/>
      </c>
      <c r="F1010" s="33" t="str">
        <f t="shared" si="100"/>
        <v/>
      </c>
      <c r="G1010" s="35"/>
      <c r="H1010" s="35"/>
      <c r="I1010" s="33"/>
      <c r="J1010" s="33" t="str">
        <f t="shared" si="101"/>
        <v/>
      </c>
      <c r="K1010" s="36"/>
      <c r="L1010" s="37"/>
      <c r="M1010" s="37"/>
      <c r="N1010" s="37"/>
      <c r="O1010" s="37"/>
      <c r="P1010" s="37"/>
      <c r="Q1010" s="37"/>
      <c r="R1010" s="37"/>
      <c r="S1010" s="37"/>
      <c r="T1010" s="38"/>
      <c r="U1010" s="40"/>
      <c r="V1010" s="40"/>
      <c r="W1010" s="40"/>
      <c r="X1010" s="41"/>
      <c r="Y1010" s="37"/>
      <c r="Z1010" s="37"/>
      <c r="AA1010" s="37"/>
      <c r="AB1010" s="37"/>
      <c r="AC1010" s="37"/>
      <c r="AD1010" s="40"/>
      <c r="AE1010" s="40"/>
      <c r="AF1010" s="40"/>
      <c r="AG1010" s="42"/>
      <c r="AH1010" s="36"/>
      <c r="AI1010" s="36"/>
    </row>
    <row r="1011" spans="1:35" x14ac:dyDescent="0.3">
      <c r="A1011" s="32" t="str">
        <f t="shared" si="96"/>
        <v/>
      </c>
      <c r="B1011" s="33" t="str">
        <f t="shared" si="97"/>
        <v/>
      </c>
      <c r="C1011" s="33" t="str">
        <f t="shared" si="98"/>
        <v/>
      </c>
      <c r="D1011" s="34"/>
      <c r="E1011" s="33" t="str">
        <f t="shared" si="99"/>
        <v/>
      </c>
      <c r="F1011" s="33" t="str">
        <f t="shared" si="100"/>
        <v/>
      </c>
      <c r="G1011" s="35"/>
      <c r="H1011" s="35"/>
      <c r="I1011" s="33"/>
      <c r="J1011" s="33" t="str">
        <f t="shared" si="101"/>
        <v/>
      </c>
      <c r="K1011" s="36"/>
      <c r="L1011" s="37"/>
      <c r="M1011" s="37"/>
      <c r="N1011" s="37"/>
      <c r="O1011" s="37"/>
      <c r="P1011" s="37"/>
      <c r="Q1011" s="37"/>
      <c r="R1011" s="37"/>
      <c r="S1011" s="37"/>
      <c r="T1011" s="38"/>
      <c r="U1011" s="40"/>
      <c r="V1011" s="40"/>
      <c r="W1011" s="40"/>
      <c r="X1011" s="41"/>
      <c r="Y1011" s="37"/>
      <c r="Z1011" s="37"/>
      <c r="AA1011" s="37"/>
      <c r="AB1011" s="37"/>
      <c r="AC1011" s="37"/>
      <c r="AD1011" s="40"/>
      <c r="AE1011" s="40"/>
      <c r="AF1011" s="40"/>
      <c r="AG1011" s="42"/>
      <c r="AH1011" s="36"/>
      <c r="AI1011" s="36"/>
    </row>
    <row r="1012" spans="1:35" x14ac:dyDescent="0.3">
      <c r="A1012" s="32" t="str">
        <f t="shared" si="96"/>
        <v/>
      </c>
      <c r="B1012" s="33" t="str">
        <f t="shared" si="97"/>
        <v/>
      </c>
      <c r="C1012" s="33" t="str">
        <f t="shared" si="98"/>
        <v/>
      </c>
      <c r="D1012" s="34"/>
      <c r="E1012" s="33" t="str">
        <f t="shared" si="99"/>
        <v/>
      </c>
      <c r="F1012" s="33" t="str">
        <f t="shared" si="100"/>
        <v/>
      </c>
      <c r="G1012" s="35"/>
      <c r="H1012" s="35"/>
      <c r="I1012" s="33"/>
      <c r="J1012" s="33" t="str">
        <f t="shared" si="101"/>
        <v/>
      </c>
      <c r="K1012" s="36"/>
      <c r="L1012" s="37"/>
      <c r="M1012" s="37"/>
      <c r="N1012" s="37"/>
      <c r="O1012" s="37"/>
      <c r="P1012" s="37"/>
      <c r="Q1012" s="37"/>
      <c r="R1012" s="37"/>
      <c r="S1012" s="37"/>
      <c r="T1012" s="38"/>
      <c r="U1012" s="40"/>
      <c r="V1012" s="40"/>
      <c r="W1012" s="40"/>
      <c r="X1012" s="41"/>
      <c r="Y1012" s="37"/>
      <c r="Z1012" s="37"/>
      <c r="AA1012" s="37"/>
      <c r="AB1012" s="37"/>
      <c r="AC1012" s="37"/>
      <c r="AD1012" s="40"/>
      <c r="AE1012" s="40"/>
      <c r="AF1012" s="40"/>
      <c r="AG1012" s="42"/>
      <c r="AH1012" s="36"/>
      <c r="AI1012" s="36"/>
    </row>
    <row r="1013" spans="1:35" x14ac:dyDescent="0.3">
      <c r="A1013" s="32" t="str">
        <f t="shared" si="96"/>
        <v/>
      </c>
      <c r="B1013" s="33" t="str">
        <f t="shared" si="97"/>
        <v/>
      </c>
      <c r="C1013" s="33" t="str">
        <f t="shared" si="98"/>
        <v/>
      </c>
      <c r="D1013" s="34"/>
      <c r="E1013" s="33" t="str">
        <f t="shared" si="99"/>
        <v/>
      </c>
      <c r="F1013" s="33" t="str">
        <f t="shared" si="100"/>
        <v/>
      </c>
      <c r="G1013" s="35"/>
      <c r="H1013" s="35"/>
      <c r="I1013" s="33"/>
      <c r="J1013" s="33" t="str">
        <f t="shared" si="101"/>
        <v/>
      </c>
      <c r="K1013" s="36"/>
      <c r="L1013" s="37"/>
      <c r="M1013" s="37"/>
      <c r="N1013" s="37"/>
      <c r="O1013" s="37"/>
      <c r="P1013" s="37"/>
      <c r="Q1013" s="37"/>
      <c r="R1013" s="37"/>
      <c r="S1013" s="37"/>
      <c r="T1013" s="38"/>
      <c r="U1013" s="40"/>
      <c r="V1013" s="40"/>
      <c r="W1013" s="40"/>
      <c r="X1013" s="41"/>
      <c r="Y1013" s="37"/>
      <c r="Z1013" s="37"/>
      <c r="AA1013" s="37"/>
      <c r="AB1013" s="37"/>
      <c r="AC1013" s="37"/>
      <c r="AD1013" s="40"/>
      <c r="AE1013" s="40"/>
      <c r="AF1013" s="40"/>
      <c r="AG1013" s="42"/>
      <c r="AH1013" s="36"/>
      <c r="AI1013" s="36"/>
    </row>
    <row r="1014" spans="1:35" x14ac:dyDescent="0.3">
      <c r="A1014" s="32" t="str">
        <f t="shared" si="96"/>
        <v/>
      </c>
      <c r="B1014" s="33" t="str">
        <f t="shared" si="97"/>
        <v/>
      </c>
      <c r="C1014" s="33" t="str">
        <f t="shared" si="98"/>
        <v/>
      </c>
      <c r="D1014" s="34"/>
      <c r="E1014" s="33" t="str">
        <f t="shared" si="99"/>
        <v/>
      </c>
      <c r="F1014" s="33" t="str">
        <f t="shared" si="100"/>
        <v/>
      </c>
      <c r="G1014" s="35"/>
      <c r="H1014" s="35"/>
      <c r="I1014" s="33"/>
      <c r="J1014" s="33" t="str">
        <f t="shared" si="101"/>
        <v/>
      </c>
      <c r="K1014" s="36"/>
      <c r="L1014" s="37"/>
      <c r="M1014" s="37"/>
      <c r="N1014" s="37"/>
      <c r="O1014" s="37"/>
      <c r="P1014" s="37"/>
      <c r="Q1014" s="37"/>
      <c r="R1014" s="37"/>
      <c r="S1014" s="37"/>
      <c r="T1014" s="38"/>
      <c r="U1014" s="40"/>
      <c r="V1014" s="40"/>
      <c r="W1014" s="40"/>
      <c r="X1014" s="41"/>
      <c r="Y1014" s="37"/>
      <c r="Z1014" s="37"/>
      <c r="AA1014" s="37"/>
      <c r="AB1014" s="37"/>
      <c r="AC1014" s="37"/>
      <c r="AD1014" s="40"/>
      <c r="AE1014" s="40"/>
      <c r="AF1014" s="40"/>
      <c r="AG1014" s="42"/>
      <c r="AH1014" s="36"/>
      <c r="AI1014" s="36"/>
    </row>
    <row r="1015" spans="1:35" x14ac:dyDescent="0.3">
      <c r="A1015" s="32" t="str">
        <f t="shared" si="96"/>
        <v/>
      </c>
      <c r="B1015" s="33" t="str">
        <f t="shared" si="97"/>
        <v/>
      </c>
      <c r="C1015" s="33" t="str">
        <f t="shared" si="98"/>
        <v/>
      </c>
      <c r="D1015" s="34"/>
      <c r="E1015" s="33" t="str">
        <f t="shared" si="99"/>
        <v/>
      </c>
      <c r="F1015" s="33" t="str">
        <f t="shared" si="100"/>
        <v/>
      </c>
      <c r="G1015" s="35"/>
      <c r="H1015" s="35"/>
      <c r="I1015" s="33"/>
      <c r="J1015" s="33" t="str">
        <f t="shared" si="101"/>
        <v/>
      </c>
      <c r="K1015" s="36"/>
      <c r="L1015" s="37"/>
      <c r="M1015" s="37"/>
      <c r="N1015" s="37"/>
      <c r="O1015" s="37"/>
      <c r="P1015" s="37"/>
      <c r="Q1015" s="37"/>
      <c r="R1015" s="37"/>
      <c r="S1015" s="37"/>
      <c r="T1015" s="38"/>
      <c r="U1015" s="40"/>
      <c r="V1015" s="40"/>
      <c r="W1015" s="40"/>
      <c r="X1015" s="41"/>
      <c r="Y1015" s="37"/>
      <c r="Z1015" s="37"/>
      <c r="AA1015" s="37"/>
      <c r="AB1015" s="37"/>
      <c r="AC1015" s="37"/>
      <c r="AD1015" s="40"/>
      <c r="AE1015" s="40"/>
      <c r="AF1015" s="40"/>
      <c r="AG1015" s="42"/>
      <c r="AH1015" s="36"/>
      <c r="AI1015" s="36"/>
    </row>
  </sheetData>
  <sheetProtection autoFilter="0"/>
  <autoFilter ref="A15:AI1015" xr:uid="{00000000-0001-0000-0000-000000000000}"/>
  <mergeCells count="42">
    <mergeCell ref="J1:J3"/>
    <mergeCell ref="J4:J6"/>
    <mergeCell ref="B6:F6"/>
    <mergeCell ref="J7:J9"/>
    <mergeCell ref="J10:K10"/>
    <mergeCell ref="L11:AI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A11:K12"/>
    <mergeCell ref="J14:J15"/>
    <mergeCell ref="K14:K15"/>
    <mergeCell ref="L14:L15"/>
    <mergeCell ref="M14:M15"/>
    <mergeCell ref="N14:N15"/>
    <mergeCell ref="AA14:AA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O14:O15"/>
    <mergeCell ref="AH14:AH15"/>
    <mergeCell ref="AI14:AI15"/>
    <mergeCell ref="AB14:AB15"/>
    <mergeCell ref="AC14:AC15"/>
    <mergeCell ref="AD14:AD15"/>
    <mergeCell ref="AE14:AE15"/>
    <mergeCell ref="AF14:AF15"/>
    <mergeCell ref="AG14:AG15"/>
  </mergeCells>
  <phoneticPr fontId="3" type="noConversion"/>
  <conditionalFormatting sqref="E16:E1015">
    <cfRule type="containsText" dxfId="10" priority="10" operator="containsText" text="최초">
      <formula>NOT(ISERROR(SEARCH("최초",E16)))</formula>
    </cfRule>
  </conditionalFormatting>
  <conditionalFormatting sqref="E10:F10">
    <cfRule type="containsText" dxfId="9" priority="4" operator="containsText" text="오류">
      <formula>NOT(ISERROR(SEARCH("오류",E10)))</formula>
    </cfRule>
  </conditionalFormatting>
  <conditionalFormatting sqref="F16:F1015">
    <cfRule type="containsText" dxfId="8" priority="11" operator="containsText" text="01">
      <formula>NOT(ISERROR(SEARCH("01",F16)))</formula>
    </cfRule>
  </conditionalFormatting>
  <conditionalFormatting sqref="L16:AI1015">
    <cfRule type="containsBlanks" dxfId="7" priority="1" stopIfTrue="1">
      <formula>LEN(TRIM(L16))=0</formula>
    </cfRule>
    <cfRule type="containsText" dxfId="6" priority="2" stopIfTrue="1" operator="containsText" text="○">
      <formula>NOT(ISERROR(SEARCH("○",L16)))</formula>
    </cfRule>
    <cfRule type="containsText" dxfId="5" priority="3" operator="containsText" text="O">
      <formula>NOT(ISERROR(SEARCH("O",L16)))</formula>
    </cfRule>
    <cfRule type="containsText" dxfId="4" priority="5" operator="containsText" text="ND">
      <formula>NOT(ISERROR(SEARCH("ND",L16)))</formula>
    </cfRule>
    <cfRule type="cellIs" dxfId="3" priority="6" operator="equal">
      <formula>0</formula>
    </cfRule>
    <cfRule type="cellIs" dxfId="2" priority="7" operator="greaterThanOrEqual">
      <formula>L$1</formula>
    </cfRule>
    <cfRule type="cellIs" dxfId="1" priority="8" operator="greaterThanOrEqual">
      <formula>L$2</formula>
    </cfRule>
    <cfRule type="cellIs" dxfId="0" priority="9" operator="greaterThanOrEqual">
      <formula>L$3</formula>
    </cfRule>
  </conditionalFormatting>
  <pageMargins left="0.70866141732283472" right="0.70866141732283472" top="0.74803149606299213" bottom="0.74803149606299213" header="0.31496062992125984" footer="0.31496062992125984"/>
  <pageSetup paperSize="9" scale="4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채취-분석현황_입력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2026-07-29T01:18:51Z</dcterms:created>
  <dcterms:modified xsi:type="dcterms:W3CDTF">2026-07-29T02:23:01Z</dcterms:modified>
</cp:coreProperties>
</file>